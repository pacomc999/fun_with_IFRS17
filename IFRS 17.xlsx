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acoe\coding_projects\Excel\"/>
    </mc:Choice>
  </mc:AlternateContent>
  <xr:revisionPtr revIDLastSave="0" documentId="13_ncr:1_{C34A853C-2FDC-4207-8026-EC7AEE462E7F}" xr6:coauthVersionLast="47" xr6:coauthVersionMax="47" xr10:uidLastSave="{00000000-0000-0000-0000-000000000000}"/>
  <bookViews>
    <workbookView minimized="1" xWindow="9705" yWindow="345" windowWidth="28695" windowHeight="15345" firstSheet="14" activeTab="14" xr2:uid="{AA34936C-8E8A-428E-A4AB-9F5DB9CD1FAF}"/>
    <workbookView xWindow="-120" yWindow="-120" windowWidth="38640" windowHeight="21120" xr2:uid="{71D352A5-087C-423A-9375-D45F734547AA}"/>
  </bookViews>
  <sheets>
    <sheet name="Read me" sheetId="22" r:id="rId1"/>
    <sheet name="Simple Model →" sheetId="10" r:id="rId2"/>
    <sheet name="Assumptions (v1)" sheetId="2" r:id="rId3"/>
    <sheet name="P&amp;L (v1)" sheetId="4" r:id="rId4"/>
    <sheet name="Balance Sheet (v1)" sheetId="3" r:id="rId5"/>
    <sheet name="Add discounting →" sheetId="11" r:id="rId6"/>
    <sheet name="Assumptions (v2)" sheetId="6" r:id="rId7"/>
    <sheet name="P&amp;L (v2)" sheetId="8" r:id="rId8"/>
    <sheet name="Balance Sheet (v2)" sheetId="7" r:id="rId9"/>
    <sheet name="OCI Election →" sheetId="36" r:id="rId10"/>
    <sheet name="Assumptions (v3)" sheetId="33" r:id="rId11"/>
    <sheet name="P&amp;L (v3)" sheetId="34" r:id="rId12"/>
    <sheet name="Balance Sheet (v3)" sheetId="35" r:id="rId13"/>
    <sheet name="Experience Variance →" sheetId="16" r:id="rId14"/>
    <sheet name="Assumptions (v4a)" sheetId="12" r:id="rId15"/>
    <sheet name="P&amp;L (v4a)" sheetId="13" r:id="rId16"/>
    <sheet name="Balance Sheet (v4a)" sheetId="14" r:id="rId17"/>
    <sheet name="Re-estimation (Option B) →" sheetId="17" r:id="rId18"/>
    <sheet name="Assumptions (v4b)" sheetId="18" r:id="rId19"/>
    <sheet name="P&amp;L (v4b)" sheetId="19" r:id="rId20"/>
    <sheet name="Balance Sheet (v4b)" sheetId="20" r:id="rId21"/>
    <sheet name="Claim Development →" sheetId="37" r:id="rId22"/>
    <sheet name="Assumptions (Claim Dev)" sheetId="38" r:id="rId23"/>
    <sheet name="P&amp;L (Claim Dev)" sheetId="39" r:id="rId24"/>
    <sheet name="Balance Sheet (Claim Dev)" sheetId="40" r:id="rId2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40" l="1"/>
  <c r="B19" i="40"/>
  <c r="E40" i="18"/>
  <c r="E48" i="18"/>
  <c r="D53" i="18"/>
  <c r="D52" i="18"/>
  <c r="D51" i="18"/>
  <c r="D50" i="18"/>
  <c r="D54" i="18"/>
  <c r="G38" i="18"/>
  <c r="D38" i="18"/>
  <c r="D48" i="18"/>
  <c r="E44" i="18"/>
  <c r="E39" i="18"/>
  <c r="C22" i="19"/>
  <c r="D49" i="18"/>
  <c r="F41" i="18"/>
  <c r="F40" i="18"/>
  <c r="F39" i="18"/>
  <c r="F38" i="18"/>
  <c r="E38" i="18"/>
  <c r="C61" i="18"/>
  <c r="C63" i="18" s="1"/>
  <c r="D30" i="12"/>
  <c r="E28" i="6"/>
  <c r="F23" i="6"/>
  <c r="D23" i="6"/>
  <c r="D28" i="6"/>
  <c r="C20" i="4"/>
  <c r="D39" i="6"/>
  <c r="C29" i="8"/>
  <c r="C22" i="8"/>
  <c r="C25" i="8"/>
  <c r="C34" i="39"/>
  <c r="C18" i="40" s="1"/>
  <c r="D18" i="40" s="1"/>
  <c r="E18" i="40" s="1"/>
  <c r="F18" i="40" s="1"/>
  <c r="B15" i="40"/>
  <c r="B15" i="3"/>
  <c r="B23" i="40"/>
  <c r="B14" i="40"/>
  <c r="C14" i="40" s="1"/>
  <c r="D14" i="40" s="1"/>
  <c r="E14" i="40" s="1"/>
  <c r="F14" i="40" s="1"/>
  <c r="C34" i="4"/>
  <c r="C6" i="3" s="1"/>
  <c r="D6" i="3" s="1"/>
  <c r="C22" i="40"/>
  <c r="C23" i="40" s="1"/>
  <c r="B12" i="40"/>
  <c r="C12" i="40" s="1"/>
  <c r="D12" i="40" s="1"/>
  <c r="E12" i="40" s="1"/>
  <c r="F12" i="40" s="1"/>
  <c r="B11" i="40"/>
  <c r="B6" i="40"/>
  <c r="F40" i="39"/>
  <c r="E40" i="39"/>
  <c r="D40" i="39"/>
  <c r="C40" i="39"/>
  <c r="F37" i="39"/>
  <c r="E37" i="39"/>
  <c r="D37" i="39"/>
  <c r="C37" i="39"/>
  <c r="F36" i="39"/>
  <c r="E36" i="39"/>
  <c r="D36" i="39"/>
  <c r="C36" i="39"/>
  <c r="F35" i="39"/>
  <c r="E35" i="39"/>
  <c r="D35" i="39"/>
  <c r="F34" i="39"/>
  <c r="E34" i="39"/>
  <c r="D34" i="39"/>
  <c r="F24" i="39"/>
  <c r="F22" i="39"/>
  <c r="F20" i="39"/>
  <c r="F17" i="39"/>
  <c r="F11" i="39"/>
  <c r="E15" i="39"/>
  <c r="E14" i="39"/>
  <c r="E9" i="39"/>
  <c r="E8" i="39"/>
  <c r="E7" i="39"/>
  <c r="E6" i="39"/>
  <c r="D15" i="39"/>
  <c r="D14" i="39"/>
  <c r="D9" i="39"/>
  <c r="D8" i="39"/>
  <c r="D7" i="39"/>
  <c r="D6" i="39"/>
  <c r="C15" i="39"/>
  <c r="C14" i="39"/>
  <c r="C9" i="39"/>
  <c r="C8" i="39"/>
  <c r="C7" i="39"/>
  <c r="C6" i="39"/>
  <c r="B41" i="38"/>
  <c r="B40" i="38"/>
  <c r="B37" i="38"/>
  <c r="C17" i="39"/>
  <c r="E17" i="39"/>
  <c r="D17" i="39"/>
  <c r="E11" i="39"/>
  <c r="D11" i="39"/>
  <c r="D20" i="39" s="1"/>
  <c r="D22" i="39" s="1"/>
  <c r="C11" i="39"/>
  <c r="B27" i="38"/>
  <c r="B21" i="38"/>
  <c r="B20" i="38"/>
  <c r="C17" i="38"/>
  <c r="C16" i="38"/>
  <c r="C15" i="38"/>
  <c r="G33" i="6"/>
  <c r="D40" i="6" s="1"/>
  <c r="C13" i="3"/>
  <c r="E24" i="4"/>
  <c r="C22" i="4"/>
  <c r="B15" i="35"/>
  <c r="B13" i="35"/>
  <c r="B15" i="7"/>
  <c r="B13" i="7"/>
  <c r="B14" i="35"/>
  <c r="D38" i="6"/>
  <c r="D37" i="6"/>
  <c r="E39" i="6"/>
  <c r="F39" i="6"/>
  <c r="E25" i="8"/>
  <c r="D60" i="6"/>
  <c r="D59" i="6"/>
  <c r="D57" i="6"/>
  <c r="D56" i="6"/>
  <c r="G28" i="6"/>
  <c r="C49" i="6" s="1"/>
  <c r="C51" i="6" s="1"/>
  <c r="C52" i="6" s="1"/>
  <c r="C11" i="3"/>
  <c r="B13" i="3"/>
  <c r="E20" i="4"/>
  <c r="D22" i="4"/>
  <c r="E47" i="34"/>
  <c r="D47" i="34"/>
  <c r="C47" i="34"/>
  <c r="C6" i="35" s="1"/>
  <c r="E39" i="19"/>
  <c r="D39" i="19"/>
  <c r="C39" i="19"/>
  <c r="C6" i="20" s="1"/>
  <c r="C6" i="14"/>
  <c r="D6" i="14" s="1"/>
  <c r="E6" i="14" s="1"/>
  <c r="E39" i="13"/>
  <c r="D39" i="13"/>
  <c r="C39" i="13"/>
  <c r="E41" i="8"/>
  <c r="D41" i="8"/>
  <c r="C41" i="8"/>
  <c r="C6" i="7" s="1"/>
  <c r="D6" i="7" s="1"/>
  <c r="E6" i="7" s="1"/>
  <c r="E34" i="4"/>
  <c r="D34" i="4"/>
  <c r="E14" i="35"/>
  <c r="E11" i="35"/>
  <c r="D14" i="35"/>
  <c r="C14" i="35"/>
  <c r="B21" i="35"/>
  <c r="B16" i="35"/>
  <c r="B23" i="35" s="1"/>
  <c r="B12" i="35"/>
  <c r="B11" i="35"/>
  <c r="B7" i="35"/>
  <c r="B6" i="35"/>
  <c r="E31" i="34"/>
  <c r="E32" i="34" s="1"/>
  <c r="E23" i="34"/>
  <c r="E17" i="34"/>
  <c r="E15" i="34"/>
  <c r="E14" i="34"/>
  <c r="E9" i="34"/>
  <c r="E8" i="34"/>
  <c r="E7" i="34"/>
  <c r="E6" i="34"/>
  <c r="E11" i="34" s="1"/>
  <c r="D23" i="34"/>
  <c r="D15" i="34"/>
  <c r="D14" i="34"/>
  <c r="D17" i="34" s="1"/>
  <c r="D9" i="34"/>
  <c r="D8" i="34"/>
  <c r="D11" i="34" s="1"/>
  <c r="D19" i="34" s="1"/>
  <c r="D7" i="34"/>
  <c r="D6" i="34"/>
  <c r="C23" i="34"/>
  <c r="C22" i="34"/>
  <c r="C24" i="34" s="1"/>
  <c r="C15" i="34"/>
  <c r="C14" i="34"/>
  <c r="C17" i="34" s="1"/>
  <c r="C9" i="34"/>
  <c r="C8" i="34"/>
  <c r="C12" i="35" s="1"/>
  <c r="C7" i="34"/>
  <c r="C6" i="34"/>
  <c r="C11" i="34" s="1"/>
  <c r="C46" i="33"/>
  <c r="C45" i="33"/>
  <c r="C50" i="33" s="1"/>
  <c r="D25" i="33"/>
  <c r="E24" i="33"/>
  <c r="D24" i="33"/>
  <c r="F23" i="33"/>
  <c r="E23" i="33"/>
  <c r="D23" i="33"/>
  <c r="C14" i="33"/>
  <c r="F13" i="33"/>
  <c r="F14" i="33" s="1"/>
  <c r="E13" i="33"/>
  <c r="D13" i="33"/>
  <c r="F12" i="33"/>
  <c r="E12" i="33"/>
  <c r="E14" i="33" s="1"/>
  <c r="D12" i="33"/>
  <c r="D14" i="33" s="1"/>
  <c r="C15" i="2"/>
  <c r="D70" i="18"/>
  <c r="B27" i="2"/>
  <c r="B20" i="20"/>
  <c r="B12" i="20"/>
  <c r="C12" i="20" s="1"/>
  <c r="D12" i="20" s="1"/>
  <c r="E11" i="20"/>
  <c r="D11" i="20"/>
  <c r="B11" i="20"/>
  <c r="B13" i="20" s="1"/>
  <c r="B6" i="20"/>
  <c r="B7" i="20" s="1"/>
  <c r="E23" i="19"/>
  <c r="D23" i="19"/>
  <c r="C23" i="19"/>
  <c r="E22" i="19"/>
  <c r="E15" i="19"/>
  <c r="E17" i="19" s="1"/>
  <c r="D15" i="19"/>
  <c r="D17" i="19" s="1"/>
  <c r="C15" i="19"/>
  <c r="E14" i="19"/>
  <c r="D14" i="19"/>
  <c r="C14" i="19"/>
  <c r="C17" i="19" s="1"/>
  <c r="E8" i="19"/>
  <c r="D8" i="19"/>
  <c r="C8" i="19"/>
  <c r="E7" i="19"/>
  <c r="D7" i="19"/>
  <c r="C7" i="19"/>
  <c r="E6" i="19"/>
  <c r="D6" i="19"/>
  <c r="C6" i="19"/>
  <c r="C62" i="18"/>
  <c r="C58" i="18"/>
  <c r="C57" i="18"/>
  <c r="F54" i="18"/>
  <c r="F53" i="18"/>
  <c r="E51" i="18"/>
  <c r="F50" i="18"/>
  <c r="F49" i="18"/>
  <c r="E49" i="18"/>
  <c r="F48" i="18"/>
  <c r="G45" i="18"/>
  <c r="F45" i="18"/>
  <c r="G44" i="18"/>
  <c r="F44" i="18"/>
  <c r="G41" i="18"/>
  <c r="G40" i="18"/>
  <c r="C11" i="20" s="1"/>
  <c r="G39" i="18"/>
  <c r="D35" i="18"/>
  <c r="E34" i="18"/>
  <c r="D34" i="18"/>
  <c r="F33" i="18"/>
  <c r="E33" i="18"/>
  <c r="D33" i="18"/>
  <c r="F25" i="18"/>
  <c r="E25" i="18"/>
  <c r="D25" i="18"/>
  <c r="F24" i="18"/>
  <c r="E24" i="18"/>
  <c r="D24" i="18"/>
  <c r="F20" i="18"/>
  <c r="E20" i="18"/>
  <c r="F19" i="18"/>
  <c r="E19" i="18"/>
  <c r="F14" i="18"/>
  <c r="E14" i="18"/>
  <c r="D14" i="18"/>
  <c r="C14" i="18"/>
  <c r="F13" i="18"/>
  <c r="E13" i="18"/>
  <c r="D13" i="18"/>
  <c r="F12" i="18"/>
  <c r="E12" i="18"/>
  <c r="D12" i="18"/>
  <c r="C64" i="18" l="1"/>
  <c r="C13" i="20"/>
  <c r="E50" i="18"/>
  <c r="D22" i="19" s="1"/>
  <c r="E53" i="18"/>
  <c r="E54" i="18" s="1"/>
  <c r="C6" i="40"/>
  <c r="D6" i="40" s="1"/>
  <c r="E6" i="40" s="1"/>
  <c r="F6" i="40" s="1"/>
  <c r="F7" i="40" s="1"/>
  <c r="C11" i="40"/>
  <c r="D11" i="40" s="1"/>
  <c r="E11" i="40" s="1"/>
  <c r="F11" i="40" s="1"/>
  <c r="F13" i="40" s="1"/>
  <c r="D22" i="40"/>
  <c r="E22" i="40" s="1"/>
  <c r="F22" i="40" s="1"/>
  <c r="F23" i="40" s="1"/>
  <c r="B7" i="40"/>
  <c r="E20" i="39"/>
  <c r="E22" i="39" s="1"/>
  <c r="C20" i="39"/>
  <c r="C22" i="39" s="1"/>
  <c r="C24" i="39" s="1"/>
  <c r="D24" i="39"/>
  <c r="E24" i="39" s="1"/>
  <c r="B23" i="38"/>
  <c r="B22" i="38"/>
  <c r="B26" i="38" s="1"/>
  <c r="D6" i="20"/>
  <c r="E6" i="20" s="1"/>
  <c r="C7" i="20"/>
  <c r="E12" i="20"/>
  <c r="E13" i="20" s="1"/>
  <c r="D13" i="20"/>
  <c r="C19" i="34"/>
  <c r="C26" i="34" s="1"/>
  <c r="E19" i="34"/>
  <c r="E6" i="3"/>
  <c r="D6" i="35"/>
  <c r="C7" i="35"/>
  <c r="D12" i="35"/>
  <c r="C6" i="4"/>
  <c r="D28" i="33"/>
  <c r="G28" i="33" s="1"/>
  <c r="D38" i="33"/>
  <c r="F34" i="33"/>
  <c r="G34" i="33" s="1"/>
  <c r="F33" i="33"/>
  <c r="F38" i="33"/>
  <c r="F30" i="33"/>
  <c r="G30" i="33" s="1"/>
  <c r="D11" i="35" s="1"/>
  <c r="F29" i="33"/>
  <c r="F28" i="33"/>
  <c r="E33" i="33"/>
  <c r="G33" i="33" s="1"/>
  <c r="D39" i="33" s="1"/>
  <c r="E38" i="33"/>
  <c r="E29" i="33"/>
  <c r="G29" i="33" s="1"/>
  <c r="C11" i="35" s="1"/>
  <c r="C13" i="35" s="1"/>
  <c r="C15" i="35" s="1"/>
  <c r="C16" i="35" s="1"/>
  <c r="E28" i="33"/>
  <c r="D68" i="18" l="1"/>
  <c r="B14" i="20"/>
  <c r="B15" i="20" s="1"/>
  <c r="B16" i="20" s="1"/>
  <c r="B22" i="20" s="1"/>
  <c r="C65" i="18"/>
  <c r="F15" i="40"/>
  <c r="F19" i="40" s="1"/>
  <c r="F25" i="40" s="1"/>
  <c r="B25" i="40"/>
  <c r="C7" i="40"/>
  <c r="D23" i="40"/>
  <c r="E23" i="40"/>
  <c r="C13" i="40"/>
  <c r="C15" i="40"/>
  <c r="C19" i="40" s="1"/>
  <c r="D13" i="35"/>
  <c r="D15" i="35" s="1"/>
  <c r="D16" i="35" s="1"/>
  <c r="E12" i="35"/>
  <c r="E13" i="35" s="1"/>
  <c r="E15" i="35" s="1"/>
  <c r="E16" i="35" s="1"/>
  <c r="D7" i="35"/>
  <c r="E6" i="35"/>
  <c r="E7" i="35" s="1"/>
  <c r="C28" i="34"/>
  <c r="C19" i="35"/>
  <c r="E7" i="20"/>
  <c r="D7" i="20"/>
  <c r="D40" i="33"/>
  <c r="C31" i="34" s="1"/>
  <c r="C32" i="34" s="1"/>
  <c r="C20" i="35" s="1"/>
  <c r="E37" i="33"/>
  <c r="E41" i="33" s="1"/>
  <c r="E42" i="33" s="1"/>
  <c r="E40" i="33"/>
  <c r="D31" i="34" s="1"/>
  <c r="D32" i="34" s="1"/>
  <c r="F39" i="33"/>
  <c r="E22" i="34" s="1"/>
  <c r="E24" i="34" s="1"/>
  <c r="E26" i="34" s="1"/>
  <c r="E34" i="34" s="1"/>
  <c r="F37" i="33"/>
  <c r="E39" i="33"/>
  <c r="D22" i="34" s="1"/>
  <c r="D24" i="34" s="1"/>
  <c r="D26" i="34" s="1"/>
  <c r="C49" i="33"/>
  <c r="C51" i="33" s="1"/>
  <c r="D37" i="33"/>
  <c r="B22" i="14"/>
  <c r="B20" i="14"/>
  <c r="B16" i="14"/>
  <c r="B15" i="14"/>
  <c r="E14" i="14"/>
  <c r="D14" i="14"/>
  <c r="C14" i="14"/>
  <c r="B14" i="14"/>
  <c r="B13" i="14"/>
  <c r="C12" i="14"/>
  <c r="C13" i="14" s="1"/>
  <c r="C15" i="14" s="1"/>
  <c r="C16" i="14" s="1"/>
  <c r="B12" i="14"/>
  <c r="E11" i="14"/>
  <c r="D11" i="14"/>
  <c r="C11" i="14"/>
  <c r="B11" i="14"/>
  <c r="C7" i="14"/>
  <c r="B7" i="14"/>
  <c r="B6" i="14"/>
  <c r="E25" i="13"/>
  <c r="D25" i="13"/>
  <c r="C25" i="13"/>
  <c r="E24" i="13"/>
  <c r="D24" i="13"/>
  <c r="C24" i="13"/>
  <c r="E23" i="13"/>
  <c r="D23" i="13"/>
  <c r="C23" i="13"/>
  <c r="E22" i="13"/>
  <c r="D22" i="13"/>
  <c r="C22" i="13"/>
  <c r="E15" i="13"/>
  <c r="D15" i="13"/>
  <c r="C15" i="13"/>
  <c r="E14" i="13"/>
  <c r="E17" i="13" s="1"/>
  <c r="D14" i="13"/>
  <c r="D17" i="13" s="1"/>
  <c r="C14" i="13"/>
  <c r="C17" i="13" s="1"/>
  <c r="E11" i="13"/>
  <c r="E19" i="13" s="1"/>
  <c r="E27" i="13" s="1"/>
  <c r="D11" i="13"/>
  <c r="D19" i="13" s="1"/>
  <c r="D27" i="13" s="1"/>
  <c r="C11" i="13"/>
  <c r="C19" i="13" s="1"/>
  <c r="C27" i="13" s="1"/>
  <c r="E9" i="13"/>
  <c r="D9" i="13"/>
  <c r="C9" i="13"/>
  <c r="E8" i="13"/>
  <c r="D8" i="13"/>
  <c r="C8" i="13"/>
  <c r="E7" i="13"/>
  <c r="D7" i="13"/>
  <c r="C7" i="13"/>
  <c r="E6" i="13"/>
  <c r="D6" i="13"/>
  <c r="C6" i="13"/>
  <c r="F65" i="12"/>
  <c r="E65" i="12"/>
  <c r="F61" i="12" s="1"/>
  <c r="D65" i="12"/>
  <c r="D64" i="12"/>
  <c r="D62" i="12"/>
  <c r="E61" i="12"/>
  <c r="D61" i="12"/>
  <c r="C58" i="12"/>
  <c r="C57" i="12"/>
  <c r="C56" i="12"/>
  <c r="C55" i="12"/>
  <c r="C54" i="12"/>
  <c r="C51" i="12"/>
  <c r="C50" i="12"/>
  <c r="F47" i="12"/>
  <c r="E47" i="12"/>
  <c r="D47" i="12"/>
  <c r="F46" i="12"/>
  <c r="E46" i="12"/>
  <c r="D46" i="12"/>
  <c r="E45" i="12"/>
  <c r="D45" i="12"/>
  <c r="F44" i="12"/>
  <c r="E44" i="12"/>
  <c r="D44" i="12"/>
  <c r="F43" i="12"/>
  <c r="E43" i="12"/>
  <c r="D43" i="12"/>
  <c r="F42" i="12"/>
  <c r="E42" i="12"/>
  <c r="D42" i="12"/>
  <c r="G39" i="12"/>
  <c r="F39" i="12"/>
  <c r="G38" i="12"/>
  <c r="F38" i="12"/>
  <c r="E38" i="12"/>
  <c r="G35" i="12"/>
  <c r="F35" i="12"/>
  <c r="G34" i="12"/>
  <c r="F34" i="12"/>
  <c r="E34" i="12"/>
  <c r="G33" i="12"/>
  <c r="F33" i="12"/>
  <c r="E33" i="12"/>
  <c r="D33" i="12"/>
  <c r="E29" i="12"/>
  <c r="D29" i="12"/>
  <c r="F28" i="12"/>
  <c r="E28" i="12"/>
  <c r="D28" i="12"/>
  <c r="F20" i="12"/>
  <c r="E20" i="12"/>
  <c r="D20" i="12"/>
  <c r="F19" i="12"/>
  <c r="E19" i="12"/>
  <c r="D19" i="12"/>
  <c r="F14" i="12"/>
  <c r="E14" i="12"/>
  <c r="D14" i="12"/>
  <c r="C14" i="12"/>
  <c r="F13" i="12"/>
  <c r="E13" i="12"/>
  <c r="D13" i="12"/>
  <c r="F12" i="12"/>
  <c r="E12" i="12"/>
  <c r="D12" i="12"/>
  <c r="C14" i="6"/>
  <c r="C45" i="6"/>
  <c r="C50" i="6" s="1"/>
  <c r="B12" i="7" s="1"/>
  <c r="E23" i="6"/>
  <c r="E24" i="6"/>
  <c r="E7" i="8"/>
  <c r="D7" i="8"/>
  <c r="C7" i="8"/>
  <c r="E6" i="8"/>
  <c r="D6" i="8"/>
  <c r="C6" i="8"/>
  <c r="E23" i="8"/>
  <c r="B20" i="7"/>
  <c r="E11" i="7"/>
  <c r="B6" i="7"/>
  <c r="B7" i="7" s="1"/>
  <c r="E15" i="8"/>
  <c r="D15" i="8"/>
  <c r="C15" i="8"/>
  <c r="E14" i="8"/>
  <c r="D25" i="6"/>
  <c r="D24" i="6"/>
  <c r="F13" i="6"/>
  <c r="E13" i="6"/>
  <c r="D13" i="6"/>
  <c r="F12" i="6"/>
  <c r="F14" i="6" s="1"/>
  <c r="E12" i="6"/>
  <c r="D14" i="8" s="1"/>
  <c r="D12" i="6"/>
  <c r="C14" i="8" s="1"/>
  <c r="C17" i="8" s="1"/>
  <c r="B20" i="2"/>
  <c r="B11" i="3" s="1"/>
  <c r="E14" i="4"/>
  <c r="D14" i="4"/>
  <c r="C14" i="4"/>
  <c r="E8" i="4"/>
  <c r="D8" i="4"/>
  <c r="C8" i="4"/>
  <c r="E6" i="4"/>
  <c r="D6" i="4"/>
  <c r="B20" i="3"/>
  <c r="B6" i="3"/>
  <c r="B21" i="2"/>
  <c r="B12" i="3" s="1"/>
  <c r="C17" i="2"/>
  <c r="C16" i="2"/>
  <c r="D69" i="18" l="1"/>
  <c r="C24" i="19" s="1"/>
  <c r="C25" i="19" s="1"/>
  <c r="D71" i="18"/>
  <c r="C9" i="19" s="1"/>
  <c r="C11" i="19" s="1"/>
  <c r="C19" i="19" s="1"/>
  <c r="C27" i="19" s="1"/>
  <c r="D15" i="40"/>
  <c r="D19" i="40" s="1"/>
  <c r="D13" i="40"/>
  <c r="E7" i="40"/>
  <c r="D7" i="40"/>
  <c r="C25" i="40"/>
  <c r="C29" i="13"/>
  <c r="D29" i="13" s="1"/>
  <c r="E29" i="13" s="1"/>
  <c r="C19" i="14"/>
  <c r="D12" i="14"/>
  <c r="D20" i="35"/>
  <c r="E20" i="35" s="1"/>
  <c r="D34" i="34"/>
  <c r="D41" i="33"/>
  <c r="D42" i="33" s="1"/>
  <c r="D28" i="34"/>
  <c r="E28" i="34" s="1"/>
  <c r="C34" i="34"/>
  <c r="C36" i="34" s="1"/>
  <c r="D36" i="34" s="1"/>
  <c r="E36" i="34" s="1"/>
  <c r="D19" i="35"/>
  <c r="C21" i="35"/>
  <c r="C23" i="35" s="1"/>
  <c r="D7" i="14"/>
  <c r="E7" i="14"/>
  <c r="C15" i="4"/>
  <c r="C17" i="4" s="1"/>
  <c r="B22" i="2"/>
  <c r="E7" i="4"/>
  <c r="C12" i="3"/>
  <c r="D12" i="3" s="1"/>
  <c r="E12" i="3" s="1"/>
  <c r="C52" i="33"/>
  <c r="D56" i="33" s="1"/>
  <c r="C53" i="33"/>
  <c r="F41" i="33"/>
  <c r="F42" i="33" s="1"/>
  <c r="F62" i="12"/>
  <c r="F64" i="12" s="1"/>
  <c r="E62" i="12"/>
  <c r="E64" i="12" s="1"/>
  <c r="F30" i="6"/>
  <c r="G30" i="6" s="1"/>
  <c r="F34" i="6"/>
  <c r="G34" i="6" s="1"/>
  <c r="F28" i="6"/>
  <c r="F38" i="6"/>
  <c r="F33" i="6"/>
  <c r="C46" i="6"/>
  <c r="E17" i="8"/>
  <c r="F29" i="6"/>
  <c r="D17" i="8"/>
  <c r="D14" i="6"/>
  <c r="E14" i="6"/>
  <c r="D15" i="4"/>
  <c r="D17" i="4" s="1"/>
  <c r="E15" i="4"/>
  <c r="E17" i="4" s="1"/>
  <c r="C7" i="4"/>
  <c r="D7" i="4"/>
  <c r="F37" i="6"/>
  <c r="E40" i="6"/>
  <c r="D11" i="7"/>
  <c r="B7" i="3"/>
  <c r="D73" i="18" l="1"/>
  <c r="E68" i="18"/>
  <c r="C14" i="20"/>
  <c r="C15" i="20" s="1"/>
  <c r="C16" i="20" s="1"/>
  <c r="C19" i="20"/>
  <c r="C20" i="20" s="1"/>
  <c r="C29" i="19"/>
  <c r="D25" i="40"/>
  <c r="E15" i="40"/>
  <c r="E13" i="40"/>
  <c r="D13" i="14"/>
  <c r="D15" i="14" s="1"/>
  <c r="D16" i="14" s="1"/>
  <c r="E12" i="14"/>
  <c r="E13" i="14" s="1"/>
  <c r="E15" i="14" s="1"/>
  <c r="E16" i="14" s="1"/>
  <c r="D19" i="14"/>
  <c r="C20" i="14"/>
  <c r="C22" i="14" s="1"/>
  <c r="E19" i="35"/>
  <c r="E21" i="35" s="1"/>
  <c r="E23" i="35" s="1"/>
  <c r="D21" i="35"/>
  <c r="D23" i="35" s="1"/>
  <c r="B26" i="2"/>
  <c r="D9" i="4" s="1"/>
  <c r="D11" i="4" s="1"/>
  <c r="D20" i="4" s="1"/>
  <c r="B23" i="2"/>
  <c r="B14" i="3"/>
  <c r="D7" i="3"/>
  <c r="D57" i="33"/>
  <c r="D8" i="8"/>
  <c r="E8" i="8"/>
  <c r="C8" i="8"/>
  <c r="E29" i="6"/>
  <c r="G29" i="6" s="1"/>
  <c r="E33" i="6"/>
  <c r="E38" i="6"/>
  <c r="F41" i="6"/>
  <c r="F42" i="6" s="1"/>
  <c r="E22" i="8"/>
  <c r="D23" i="8"/>
  <c r="C7" i="3"/>
  <c r="C22" i="20" l="1"/>
  <c r="E69" i="18"/>
  <c r="E19" i="40"/>
  <c r="E25" i="40" s="1"/>
  <c r="D20" i="14"/>
  <c r="D22" i="14" s="1"/>
  <c r="E19" i="14"/>
  <c r="E20" i="14" s="1"/>
  <c r="E22" i="14" s="1"/>
  <c r="E7" i="3"/>
  <c r="C9" i="4"/>
  <c r="E9" i="4"/>
  <c r="E11" i="4" s="1"/>
  <c r="E22" i="4" s="1"/>
  <c r="D59" i="33"/>
  <c r="D60" i="33" s="1"/>
  <c r="E56" i="33" s="1"/>
  <c r="C7" i="7"/>
  <c r="B11" i="7"/>
  <c r="C23" i="8"/>
  <c r="E37" i="6"/>
  <c r="E41" i="6" s="1"/>
  <c r="E42" i="6" s="1"/>
  <c r="C11" i="7"/>
  <c r="C13" i="7" s="1"/>
  <c r="C12" i="7"/>
  <c r="D12" i="7" s="1"/>
  <c r="B16" i="3"/>
  <c r="B22" i="3" s="1"/>
  <c r="D11" i="3"/>
  <c r="D22" i="8"/>
  <c r="D24" i="19" l="1"/>
  <c r="D25" i="19" s="1"/>
  <c r="E71" i="18"/>
  <c r="D9" i="19" s="1"/>
  <c r="D11" i="19" s="1"/>
  <c r="D19" i="19" s="1"/>
  <c r="D27" i="19" s="1"/>
  <c r="D41" i="6"/>
  <c r="D42" i="6" s="1"/>
  <c r="C11" i="4"/>
  <c r="C14" i="3"/>
  <c r="E57" i="33"/>
  <c r="D13" i="7"/>
  <c r="E12" i="7"/>
  <c r="E13" i="7" s="1"/>
  <c r="C53" i="6"/>
  <c r="D7" i="7"/>
  <c r="E7" i="7"/>
  <c r="E11" i="3"/>
  <c r="D13" i="3"/>
  <c r="E73" i="18" l="1"/>
  <c r="D19" i="20"/>
  <c r="D29" i="19"/>
  <c r="D14" i="3"/>
  <c r="C15" i="3"/>
  <c r="C16" i="3" s="1"/>
  <c r="E59" i="33"/>
  <c r="E60" i="33" s="1"/>
  <c r="F56" i="33" s="1"/>
  <c r="B14" i="7"/>
  <c r="E13" i="3"/>
  <c r="D20" i="20" l="1"/>
  <c r="D14" i="20"/>
  <c r="D15" i="20" s="1"/>
  <c r="D16" i="20" s="1"/>
  <c r="F68" i="18"/>
  <c r="C19" i="3"/>
  <c r="C20" i="3" s="1"/>
  <c r="C22" i="3" s="1"/>
  <c r="C24" i="4"/>
  <c r="E14" i="3"/>
  <c r="E15" i="3" s="1"/>
  <c r="E16" i="3" s="1"/>
  <c r="D15" i="3"/>
  <c r="D16" i="3" s="1"/>
  <c r="F57" i="33"/>
  <c r="F59" i="33" s="1"/>
  <c r="F60" i="33" s="1"/>
  <c r="C9" i="8"/>
  <c r="B16" i="7"/>
  <c r="B22" i="7" s="1"/>
  <c r="F69" i="18" l="1"/>
  <c r="E24" i="19" s="1"/>
  <c r="E25" i="19" s="1"/>
  <c r="F71" i="18"/>
  <c r="E9" i="19" s="1"/>
  <c r="E11" i="19" s="1"/>
  <c r="E19" i="19" s="1"/>
  <c r="E27" i="19" s="1"/>
  <c r="F73" i="18"/>
  <c r="E14" i="20" s="1"/>
  <c r="E15" i="20" s="1"/>
  <c r="E16" i="20" s="1"/>
  <c r="D22" i="20"/>
  <c r="D19" i="3"/>
  <c r="D24" i="4"/>
  <c r="D20" i="3"/>
  <c r="D22" i="3" s="1"/>
  <c r="E19" i="3"/>
  <c r="E20" i="3" s="1"/>
  <c r="E22" i="3" s="1"/>
  <c r="C11" i="8"/>
  <c r="C19" i="8" s="1"/>
  <c r="C24" i="8"/>
  <c r="E29" i="19" l="1"/>
  <c r="E19" i="20"/>
  <c r="E20" i="20" s="1"/>
  <c r="E22" i="20"/>
  <c r="E56" i="6"/>
  <c r="C14" i="7"/>
  <c r="C15" i="7" s="1"/>
  <c r="C27" i="8"/>
  <c r="C19" i="7" l="1"/>
  <c r="C20" i="7" s="1"/>
  <c r="C16" i="7"/>
  <c r="E57" i="6"/>
  <c r="E59" i="6"/>
  <c r="D9" i="8" s="1"/>
  <c r="D11" i="8"/>
  <c r="D19" i="8" s="1"/>
  <c r="C22" i="7" l="1"/>
  <c r="D24" i="8"/>
  <c r="D25" i="8" s="1"/>
  <c r="D27" i="8" s="1"/>
  <c r="E60" i="6"/>
  <c r="D19" i="7" l="1"/>
  <c r="D20" i="7" s="1"/>
  <c r="D29" i="8"/>
  <c r="F56" i="6"/>
  <c r="F57" i="6" s="1"/>
  <c r="F59" i="6" s="1"/>
  <c r="D14" i="7"/>
  <c r="D15" i="7" s="1"/>
  <c r="E24" i="8" l="1"/>
  <c r="D16" i="7"/>
  <c r="D22" i="7" s="1"/>
  <c r="E9" i="8"/>
  <c r="F60" i="6"/>
  <c r="E14" i="7" s="1"/>
  <c r="E15" i="7" s="1"/>
  <c r="E16" i="7" s="1"/>
  <c r="E11" i="8" l="1"/>
  <c r="E19" i="8" s="1"/>
  <c r="E27" i="8" s="1"/>
  <c r="E29" i="8" l="1"/>
  <c r="E19" i="7"/>
  <c r="E20" i="7" s="1"/>
  <c r="E22" i="7" s="1"/>
</calcChain>
</file>

<file path=xl/sharedStrings.xml><?xml version="1.0" encoding="utf-8"?>
<sst xmlns="http://schemas.openxmlformats.org/spreadsheetml/2006/main" count="677" uniqueCount="273">
  <si>
    <t>Contract Details</t>
  </si>
  <si>
    <t>Coverage period (years)</t>
  </si>
  <si>
    <t>Discount rate</t>
  </si>
  <si>
    <t>Cash Flows at Inception</t>
  </si>
  <si>
    <t>Total</t>
  </si>
  <si>
    <t>Per Year</t>
  </si>
  <si>
    <t>Premiums collected (upfront)</t>
  </si>
  <si>
    <t>Expected claims</t>
  </si>
  <si>
    <t>Expected expenses</t>
  </si>
  <si>
    <t>Risk Adjustment (total)</t>
  </si>
  <si>
    <t>Building Blocks at Inception</t>
  </si>
  <si>
    <t>Risk Adjustment</t>
  </si>
  <si>
    <t>Contractual Service Margin (CSM)</t>
  </si>
  <si>
    <t>Total Insurance Liability at Inception</t>
  </si>
  <si>
    <t>Release Pattern</t>
  </si>
  <si>
    <t>CSM release per year</t>
  </si>
  <si>
    <t>RA release per year</t>
  </si>
  <si>
    <t>How it works:</t>
  </si>
  <si>
    <t>BALANCE SHEET</t>
  </si>
  <si>
    <t>Year 1</t>
  </si>
  <si>
    <t>Year 2</t>
  </si>
  <si>
    <t>Year 3</t>
  </si>
  <si>
    <t>ASSETS</t>
  </si>
  <si>
    <t xml:space="preserve">  Cash &amp; Investments</t>
  </si>
  <si>
    <t>Total Assets</t>
  </si>
  <si>
    <t>LIABILITIES</t>
  </si>
  <si>
    <t>Insurance Contract Liability:</t>
  </si>
  <si>
    <t xml:space="preserve">  Risk Adjustment</t>
  </si>
  <si>
    <t xml:space="preserve">  Contractual Service Margin (CSM)</t>
  </si>
  <si>
    <t>Total Insurance Liability</t>
  </si>
  <si>
    <t>Total Liabilities</t>
  </si>
  <si>
    <t>EQUITY</t>
  </si>
  <si>
    <t xml:space="preserve">  Retained Earnings</t>
  </si>
  <si>
    <t>Total Equity</t>
  </si>
  <si>
    <t>CHECK: Assets = Liabilities + Equity</t>
  </si>
  <si>
    <t>INCOME STATEMENT (P&amp;L)</t>
  </si>
  <si>
    <t>INSURANCE REVENUE</t>
  </si>
  <si>
    <t xml:space="preserve">  Risk Adjustment release</t>
  </si>
  <si>
    <t xml:space="preserve">  CSM release (earned profit)</t>
  </si>
  <si>
    <t>Total Insurance Revenue</t>
  </si>
  <si>
    <t>INSURANCE SERVICE EXPENSE</t>
  </si>
  <si>
    <t xml:space="preserve">  Actual claims incurred</t>
  </si>
  <si>
    <t xml:space="preserve">  Actual expenses incurred</t>
  </si>
  <si>
    <t>Total Insurance Service Expense</t>
  </si>
  <si>
    <t>INSURANCE SERVICE RESULT</t>
  </si>
  <si>
    <t>Net Income</t>
  </si>
  <si>
    <t>Cumulative Profit</t>
  </si>
  <si>
    <t>Revenue ≠ Premiums! Revenue = expected costs released + RA released + CSM released</t>
  </si>
  <si>
    <t>Cash outflows (for BS link)</t>
  </si>
  <si>
    <t xml:space="preserve">  Total cash paid out (claims + expenses)</t>
  </si>
  <si>
    <t>The CSM release (53.3/yr) + RA release (30/yr) = 83.3 profit per year</t>
  </si>
  <si>
    <t>BEL (Best Estimate Liability)</t>
  </si>
  <si>
    <t xml:space="preserve">  BEL (Best Estimate Liability)</t>
  </si>
  <si>
    <t>Fulfilment Cash Flows (BEL + RA)</t>
  </si>
  <si>
    <t>← Simple / toy model tabs are to the right of this divider</t>
  </si>
  <si>
    <t>CONTRACT DETAILS</t>
  </si>
  <si>
    <t>UNDISCOUNTED CASH FLOWS</t>
  </si>
  <si>
    <t>Total undiscounted outflows</t>
  </si>
  <si>
    <t>Risk Adjustment (total, undiscounted)</t>
  </si>
  <si>
    <t>YIELD CURVE (Spot Rates)</t>
  </si>
  <si>
    <t>1Y Spot</t>
  </si>
  <si>
    <t>2Y Spot</t>
  </si>
  <si>
    <t>3Y Spot</t>
  </si>
  <si>
    <t>Curve at Inception (t=0)</t>
  </si>
  <si>
    <t>Curve at End Year 1 (t=1)</t>
  </si>
  <si>
    <t>Curve at End Year 2 (t=2)</t>
  </si>
  <si>
    <t>← blue = input</t>
  </si>
  <si>
    <t>DISCOUNT FACTORS</t>
  </si>
  <si>
    <t>DF 1Y</t>
  </si>
  <si>
    <t>DF 2Y</t>
  </si>
  <si>
    <t>DF 3Y</t>
  </si>
  <si>
    <t>DFs at Inception (t=0)</t>
  </si>
  <si>
    <t>DFs at End Year 1 (t=1)</t>
  </si>
  <si>
    <t>DFs at End Year 2 (t=2)</t>
  </si>
  <si>
    <t>BEL (DISCOUNTED) AT EACH DATE</t>
  </si>
  <si>
    <t>PV of Y1 CFs</t>
  </si>
  <si>
    <t>PV of Y2 CFs</t>
  </si>
  <si>
    <t>PV of Y3 CFs</t>
  </si>
  <si>
    <t>BEL Total</t>
  </si>
  <si>
    <t>BEL at Inception (t=0)</t>
  </si>
  <si>
    <t>BEL ROLLFORWARD COMPONENTS</t>
  </si>
  <si>
    <t>Opening BEL</t>
  </si>
  <si>
    <t xml:space="preserve">  Less: BEL release (expected outflows for the year)</t>
  </si>
  <si>
    <t xml:space="preserve">  Accretion (discount unwind)</t>
  </si>
  <si>
    <t xml:space="preserve">  Effect of discount rate changes</t>
  </si>
  <si>
    <t>Closing BEL</t>
  </si>
  <si>
    <t>CHECK: Closing BEL ties to BEL calc above</t>
  </si>
  <si>
    <t>RISK ADJUSTMENT</t>
  </si>
  <si>
    <t>RA at Inception</t>
  </si>
  <si>
    <t>RA release per year (evenly over coverage)</t>
  </si>
  <si>
    <t>BUILDING BLOCKS AT INCEPTION</t>
  </si>
  <si>
    <t>BEL (discounted)</t>
  </si>
  <si>
    <t>CSM ROLLFORWARD</t>
  </si>
  <si>
    <t>Opening CSM</t>
  </si>
  <si>
    <t xml:space="preserve">  CSM accretion (interest on CSM)</t>
  </si>
  <si>
    <t xml:space="preserve">  CSM release (to P&amp;L as revenue)</t>
  </si>
  <si>
    <t>Closing CSM</t>
  </si>
  <si>
    <t>INSURANCE FINANCE INCOME / (EXPENSE)</t>
  </si>
  <si>
    <t xml:space="preserve">  Accretion of BEL (discount unwind)</t>
  </si>
  <si>
    <t>Total Insurance Finance Income / (Expense)</t>
  </si>
  <si>
    <t>NET INCOME</t>
  </si>
  <si>
    <t xml:space="preserve">  (Rate changes go through P&amp;L, not CSM)</t>
  </si>
  <si>
    <t xml:space="preserve">  Accretion of CSM</t>
  </si>
  <si>
    <t>Simplifications:</t>
  </si>
  <si>
    <t>• Assets consist solely of cash (no investment portfolio or investment income)</t>
  </si>
  <si>
    <t>• Claims and expenses are equal each year (symmetric risk profile)</t>
  </si>
  <si>
    <t>• Risk Adjustment released linearly over the coverage period</t>
  </si>
  <si>
    <t>• All insurance finance income/expense flows through P&amp;L (no OCI election)</t>
  </si>
  <si>
    <t>• Claims and expenses are equal each year; RA released linearly</t>
  </si>
  <si>
    <t>• Actual claims exceed expected, but insurer does NOT re-estimate future claims</t>
  </si>
  <si>
    <t>EXPECTED CASH FLOWS (at inception)</t>
  </si>
  <si>
    <t>Total expected undiscounted outflows</t>
  </si>
  <si>
    <t>ACTUAL CASH FLOWS</t>
  </si>
  <si>
    <t>Actual claims</t>
  </si>
  <si>
    <t>Actual expenses</t>
  </si>
  <si>
    <t>Total actual outflows</t>
  </si>
  <si>
    <t>• Actual claims exceed expected; insurer re-estimates future claims at end of Year 1</t>
  </si>
  <si>
    <t>• CSM absorbs the BEL increase from re-estimation (no onerous contract)</t>
  </si>
  <si>
    <t>• Assets consist solely of cash; all finance through P&amp;L (no OCI)</t>
  </si>
  <si>
    <t>ORIGINAL EXPECTED CASH FLOWS (at inception)</t>
  </si>
  <si>
    <t>REVISED EXPECTED CASH FLOWS (at end of Year 1)</t>
  </si>
  <si>
    <t>Revised expected claims</t>
  </si>
  <si>
    <t>Expected expenses (unchanged)</t>
  </si>
  <si>
    <t>Total revised outflows</t>
  </si>
  <si>
    <t>BEL at End Y3 (t=3)</t>
  </si>
  <si>
    <t xml:space="preserve">  Less: BEL release (expected outflows)</t>
  </si>
  <si>
    <t xml:space="preserve">  Changes in estimates (re-estimation)</t>
  </si>
  <si>
    <t>CHECK: Closing BEL ties</t>
  </si>
  <si>
    <t xml:space="preserve">  Absorption of BEL re-estimation</t>
  </si>
  <si>
    <t>IFRS 17 FINANCIAL STATEMENTS</t>
  </si>
  <si>
    <t>ABOUT THIS FILE</t>
  </si>
  <si>
    <t>MODEL STRUCTURE</t>
  </si>
  <si>
    <t>Version</t>
  </si>
  <si>
    <t>Divider Tab</t>
  </si>
  <si>
    <t>Description</t>
  </si>
  <si>
    <t>Sheets</t>
  </si>
  <si>
    <t>Simple Model →</t>
  </si>
  <si>
    <t>Add discounting →</t>
  </si>
  <si>
    <t>Experience Variance →</t>
  </si>
  <si>
    <t>Re-estimation (Option B) →</t>
  </si>
  <si>
    <t>KEY FEATURES</t>
  </si>
  <si>
    <t>•  Coloured divider tabs separate the versions for easy navigation</t>
  </si>
  <si>
    <t>HOW TO USE</t>
  </si>
  <si>
    <t>A step-by-step model of IFRS 17 accounting mechanics</t>
  </si>
  <si>
    <t>Builds on v1 by introducing a yield curve to discount future cash flows to present value. The BEL drops from 750 (nominal) to ~698 (discounted), which increases the CSM to ~212. Each period, the BEL and CSM accrete interest (discount unwind), and the model tracks BEL rollforward components: opening balance, expected outflow releases, accretion, and discount rate changes. Insurance finance income/expense flows entirely through P&amp;L (no OCI election). This version shows how time value of money affects profit emergence and liability measurement.</t>
  </si>
  <si>
    <t>1. The premium creates a balanced entry: cash +1,000 on the asset side and insurance liability +1,000 on the liability side</t>
  </si>
  <si>
    <t xml:space="preserve">    The CSM acts as the plug that forces Day 1 profit to zero (Liability = BEL + RA + CSM = Premium)</t>
  </si>
  <si>
    <t>2. Revenue then emerges over the coverage period as the liability components (BEL, RA, CSM) are released to the P&amp;L</t>
  </si>
  <si>
    <t>pacomc999@gmail.com</t>
  </si>
  <si>
    <t>Assumptions (v1), P&amp;L (v1), Balance Sheet (v1)</t>
  </si>
  <si>
    <t>Assumptions (v2), P&amp;L (v2), Balance Sheet (v2)</t>
  </si>
  <si>
    <t>•  Each version contains a full set of Assumptions, P&amp;L, and Balance Sheet sheets</t>
  </si>
  <si>
    <t>• All insurance finance income/expense: P&amp;L uses locked-in rate; discount rate changes flow through OCI</t>
  </si>
  <si>
    <t xml:space="preserve">  (Rate changes go through OCI, not P&amp;L or CSM)</t>
  </si>
  <si>
    <t xml:space="preserve">  Accretion of BEL (discount unwind at locked-in rate)</t>
  </si>
  <si>
    <t xml:space="preserve">  Accretion of CSM (at locked-in rate)</t>
  </si>
  <si>
    <t>Total Insurance Finance I/E in P&amp;L</t>
  </si>
  <si>
    <t>Cumulative Retained Earnings</t>
  </si>
  <si>
    <t xml:space="preserve">  Effect of discount rate changes on BEL</t>
  </si>
  <si>
    <t>Total OCI</t>
  </si>
  <si>
    <t>TOTAL COMPREHENSIVE INCOME</t>
  </si>
  <si>
    <t>Cumulative Comprehensive Income</t>
  </si>
  <si>
    <t xml:space="preserve">  Accumulated OCI (AOCI)</t>
  </si>
  <si>
    <t>OCI Election →</t>
  </si>
  <si>
    <t xml:space="preserve">  Cash &amp; Investments  ← 1,000 premium received upfront</t>
  </si>
  <si>
    <t>• Actual claims and expenses = expected each year (no experience variance)</t>
  </si>
  <si>
    <t>WORKINGS (not part of the P&amp;L)</t>
  </si>
  <si>
    <t>v1: Simple Model</t>
  </si>
  <si>
    <t>v2: Add Discounting</t>
  </si>
  <si>
    <t>•  All financial statements are fully linked; changes in assumptions flow through automatically</t>
  </si>
  <si>
    <t>The foundation case. A 3-year insurance contract with 1,000 in premiums collected upfront, 600 in expected claims, 150 in expected expenses, and a 90 Risk Adjustment, all at nominal value (0% discount rate). The CSM of 160 represents the unearned profit and is released evenly over 3 years. Claims and expenses are symmetric each period, so there is no experience variance. This version establishes the core IFRS 17 mechanics: no Day 1 profit (premiums create equal entries on asset and liability sides), and revenue emerges over time as the liability is released to the P&amp;L.</t>
  </si>
  <si>
    <t>IFRS 17: Simple Insurance Example</t>
  </si>
  <si>
    <t>• No discounting (0% discount rate), all cash flows at nominal value</t>
  </si>
  <si>
    <t>3. The CSM is the 'unearned profit'; it smooths profit recognition over the coverage period</t>
  </si>
  <si>
    <t>Insurance Company: IFRS 17 Example</t>
  </si>
  <si>
    <t xml:space="preserve">  BEL release: expected claims</t>
  </si>
  <si>
    <t xml:space="preserve">  BEL release: expected expenses</t>
  </si>
  <si>
    <t>IFRS 17: Example with discounting</t>
  </si>
  <si>
    <t>BEL at End Year 1 (t=1), using NEW curve</t>
  </si>
  <si>
    <t>BEL at End Year 2 (t=2), using NEW curve</t>
  </si>
  <si>
    <t>BEL at End Year 1, using OLD curve (for accretion calc)</t>
  </si>
  <si>
    <t>BEL at End Year 2, using OLD curve (for accretion calc)</t>
  </si>
  <si>
    <t>IFRS 17: Experience Variance (Option A)</t>
  </si>
  <si>
    <t>IFRS 17: Re-estimation (Option B)</t>
  </si>
  <si>
    <t>BEL at Inception (t=0), original estimates</t>
  </si>
  <si>
    <t>BEL at End Y1 (t=1), original estimates, NEW curve</t>
  </si>
  <si>
    <t>BEL at End Y1 (t=1), REVISED estimates, NEW curve</t>
  </si>
  <si>
    <t>BEL at End Y1, using OLD curve (for accretion)</t>
  </si>
  <si>
    <t>BEL at End Y2, using OLD curve (for accretion)</t>
  </si>
  <si>
    <t>IFRS 17: Example with discounting (OCI Election)</t>
  </si>
  <si>
    <t>IFRS 17: Discounting with OCI Election</t>
  </si>
  <si>
    <t>INSURANCE FINANCE INCOME / (EXPENSE), in P&amp;L</t>
  </si>
  <si>
    <t>In this model, cash outflows = insurance service expense because claims are paid immediately when incurred.</t>
  </si>
  <si>
    <t>In practice these can differ due to settlement lags, expense accruals, or upfront acquisition costs.</t>
  </si>
  <si>
    <t>The BS cash line references cash outflows (not P&amp;L expense) because it tracks actual cash movements.</t>
  </si>
  <si>
    <t>KEY INSIGHTS:</t>
  </si>
  <si>
    <t>Discounting reduces the BEL from 750 (nominal) to ~698, increasing the CSM from 160 to ~212. More profit is deferred at inception.</t>
  </si>
  <si>
    <t>Accretion (discount unwind) creates an insurance finance expense each period as the BEL 'grows back' toward its undiscounted value.</t>
  </si>
  <si>
    <t>CSM release is no longer equal each year: it increases over time because CSM accretes interest before each release.</t>
  </si>
  <si>
    <t>Net income still totals 250 over the contract, but profit emergence is shifted: less in Year 1, more in Year 3.</t>
  </si>
  <si>
    <t>The yield curve shift of +25bps per year creates non-zero discount rate change effects, flowing through Insurance Finance I/E.</t>
  </si>
  <si>
    <t>Compare with v1: same contract, same total profit, but discounting changes the timing and introduces finance income/expense.</t>
  </si>
  <si>
    <t>IFRS 17: Model with Discounting</t>
  </si>
  <si>
    <t>⚠️ Actual claims = Expected claims here (no experience variance). See v4a/v4b for what happens when actuals ≠ expected.</t>
  </si>
  <si>
    <t>v3: OCI Election</t>
  </si>
  <si>
    <t>Assumptions (v3), P&amp;L (v3), Balance Sheet (v3)</t>
  </si>
  <si>
    <t>v4a: Experience Variance (no re-estimation)</t>
  </si>
  <si>
    <t>Introduces a real-world complication: actual claims of 250/year exceed the expected 200/year, creating a 50/year experience variance. Critically, the insurer does NOT revise its future assumptions; it treats each year's overrun as a one-off. The BEL rollforward and CSM rollforward remain identical to v2 (since expectations are unchanged), but the P&amp;L shows higher incurred claims, reducing net profit. This version isolates the impact of experience variance on the income statement without any feedback into the liability measurement. Compare with v4b to see how the same actual experience leads to very different financial statements depending on the re-estimation decision.</t>
  </si>
  <si>
    <t>Assumptions (v4a), P&amp;L (v4a), Balance Sheet (v4a)</t>
  </si>
  <si>
    <t>v4b: Experience Variance (with re-estimation)</t>
  </si>
  <si>
    <t>Same actual cash flows as v4a: Year 1 claims are 250 vs. 200 expected, but here the insurer re-estimates future claims upward to 250/year for Years 2 and 3. This creates a BEL increase of ~95 at end of Year 1 (the present value of the additional 50/year for two remaining years). Under IFRS 17, this BEL increase is absorbed by the CSM, reducing it from ~145 to ~82, rather than hitting the P&amp;L immediately (since the contract is not onerous). The CSM release in subsequent years is therefore lower, spreading the impact of adverse experience over the remaining coverage period. Compare with v4a to see how the re-estimation decision shifts profit timing.</t>
  </si>
  <si>
    <t>Assumptions (v4b), P&amp;L (v4b), Balance Sheet (v4b)</t>
  </si>
  <si>
    <t>BEL at End Year 3 (t=3), using NEW curve</t>
  </si>
  <si>
    <t>The OCI election splits insurance finance effects: P&amp;L shows only locked-in rate accretion (predictable); discount rate changes bypass P&amp;L entirely.</t>
  </si>
  <si>
    <t>This reduces P&amp;L volatility: if rates spike, the impact sits in AOCI on the balance sheet, not in Net Income.</t>
  </si>
  <si>
    <t>Equity is no longer explained by the P&amp;L alone. Retained Earnings = cumulative Net Income; AOCI = cumulative OCI. You need both to reconcile Total Equity.</t>
  </si>
  <si>
    <t>Equity splits into two components: Retained Earnings (driven by Net Income from the P&amp;L) and AOCI (driven by OCI, which bypasses the P&amp;L).</t>
  </si>
  <si>
    <t>The P&amp;L alone does not explain total equity changes. To reconcile the movement in Total Equity, you need Total Comprehensive Income = Net Income + OCI.</t>
  </si>
  <si>
    <t>AOCI accumulates discount rate change effects that were excluded from P&amp;L. It unwinds to zero by contract end when all cash flows are settled.</t>
  </si>
  <si>
    <t>Total Equity (250) equals v2's Total Equity. The OCI election changes how equity is decomposed, not its total.</t>
  </si>
  <si>
    <t>Total Comprehensive Income (Net Income + OCI) equals v2's Net Income. The total profit is identical; the OCI election only changes which line it appears on.</t>
  </si>
  <si>
    <t>OTHER COMPREHENSIVE INCOME (OCI)  ← not part of the P&amp;L; reported separately</t>
  </si>
  <si>
    <t>Same contract and assumptions as v2, but elects to disaggregate insurance finance income/expense between P&amp;L and OCI. The P&amp;L shows only locked-in rate effects (BEL accretion and CSM accretion), while the effect of discount rate changes flows through Other Comprehensive Income. The Balance Sheet splits equity into Retained Earnings (from P&amp;L) and Accumulated OCI (AOCI). Compare with v2 to see how the OCI election changes the presentation without affecting total comprehensive income or the balance sheet liability.</t>
  </si>
  <si>
    <t xml:space="preserve">Total profit over 3 years = 250 = CSM (160) + RA (90) </t>
  </si>
  <si>
    <t>⚠️ Actual claims (250) &gt; Expected claims (200). The 50/yr difference hits profit immediately as experience variance.</t>
  </si>
  <si>
    <t>⚠️ Option B re-estimates future claims upward and adjusts the CSM, so expected claims in Yr 2-3 = 250 (matching actuals). Revenue rises in later years.</t>
  </si>
  <si>
    <t>Revenue is based on EXPECTED costs (locked in), not actuals. So revenue stays the same even when claims blow out; the variance shows up in higher expense.</t>
  </si>
  <si>
    <t>This is why IFRS 17 shows BEL release (expected) as revenue and actuals as expense separately. When they differ, the P&amp;L reveals whether the insurer is managing claims well.</t>
  </si>
  <si>
    <t>If profit were just "CSM + RA release", you'd never see that claims exceeded expectations. The loss would be hidden.</t>
  </si>
  <si>
    <t>In Year 1 the BEL release is still based on the ORIGINAL expected claims (200), so the 50 experience variance hits Year 1 profit, just like Option A.</t>
  </si>
  <si>
    <t>The workbook is organised into five progressive versions, each separated by a divider tab:</t>
  </si>
  <si>
    <t>Start with Version 1 to understand the building blocks (BEL, RA, CSM) and the core revenue recognition mechanics. Move to Version 2 to understand how discounting changes liability measurement, profit emergence, and introduces accretion. Version 3 shows how the OCI election changes the presentation of finance effects. Then compare Versions 4a and 4b side by side: they share the same actual cash flows but differ in whether the insurer re-estimates future assumptions. This contrast highlights the critical accounting policy choice and its impact on profit timing. In each version, compare the Assumptions tab to the prior version to see exactly what changed.</t>
  </si>
  <si>
    <t>IFRS 17: Simple Model v1.5 — Claim Development</t>
  </si>
  <si>
    <t>• Claims are INCURRED evenly but PAID over 2 years (see claim development below)</t>
  </si>
  <si>
    <t>Claim Development Pattern</t>
  </si>
  <si>
    <t>% paid in year incurred</t>
  </si>
  <si>
    <t>% paid following year</t>
  </si>
  <si>
    <t>Claims paid schedule (per cohort of incurred claims)</t>
  </si>
  <si>
    <t xml:space="preserve">  Paid in year of incurral</t>
  </si>
  <si>
    <t xml:space="preserve">  Paid one year later</t>
  </si>
  <si>
    <t>How claim development works:</t>
  </si>
  <si>
    <t>1. Claims are INCURRED evenly each year (200/yr) and recognized in the P&amp;L when incurred</t>
  </si>
  <si>
    <t>2. But cash PAYMENT lags: 80% paid in the year incurred, 20% paid the following year</t>
  </si>
  <si>
    <t>3. The unpaid portion sits on the BS as a 'Claims Payable' liability (separate from the insurance contract liability)</t>
  </si>
  <si>
    <t>4. P&amp;L is unchanged vs v1 (incurred basis); only cash and the BS change</t>
  </si>
  <si>
    <t>5. A Year 4 column is needed to capture the final tail payment from Year 3's incurred claims</t>
  </si>
  <si>
    <t>INCOME STATEMENT (P&amp;L) — v1.5</t>
  </si>
  <si>
    <t>Year 4</t>
  </si>
  <si>
    <t>Cash outflows (for BS link) — claims paid on development pattern</t>
  </si>
  <si>
    <t xml:space="preserve">  Claims paid — current year (% of this year's incurred)</t>
  </si>
  <si>
    <t xml:space="preserve">  Claims paid — tail from prior year (% of prior year's incurred)</t>
  </si>
  <si>
    <t xml:space="preserve">  Expenses paid (immediate)</t>
  </si>
  <si>
    <t xml:space="preserve">  Total cash paid out</t>
  </si>
  <si>
    <t>Claims payable (unpaid incurred claims carried to next year)</t>
  </si>
  <si>
    <t xml:space="preserve">  = Current year incurred × % paid following year</t>
  </si>
  <si>
    <t>⚠️ Actual claims INCURRED = Expected (no experience variance). But cash PAID lags incurral.</t>
  </si>
  <si>
    <t>P&amp;L is identical to v1 — claims hit the P&amp;L when incurred, not when paid</t>
  </si>
  <si>
    <t>The difference vs v1 shows up on the Balance Sheet: a new 'Claims Payable' line + delayed cash outflow</t>
  </si>
  <si>
    <t>Year 4 has no P&amp;L activity (coverage ended); only the tail payment of the unpaid Y3 claims</t>
  </si>
  <si>
    <t>BALANCE SHEET — v1.5</t>
  </si>
  <si>
    <t xml:space="preserve">  Claims Payable (unpaid incurred claims)</t>
  </si>
  <si>
    <t>Total Insurance Contract Liability</t>
  </si>
  <si>
    <t>Liability for Remaining Coverage (LRC):</t>
  </si>
  <si>
    <t xml:space="preserve">  Fulfilment Cash Flows (BEL + RA)</t>
  </si>
  <si>
    <t>Subtotal LRC</t>
  </si>
  <si>
    <t>Liability for Incurred Claims (LIC):</t>
  </si>
  <si>
    <t>This workbook is a teaching model that illustrates IFRS 17 (Insurance Contracts) through a progressive series of examples. It follows a single hypothetical insurance contract, a 3-year coverage period policy with 1,000 in upfront premiums, across four increasingly realistic scenarios. Each version builds two financial statements (Income Statement and Balance Sheet) so you can trace exactly how each new concept changes the numbers. The model decomposes the insurance liability into its IFRS 17 building blocks: Best Estimate Liability (BEL), Risk Adjustment (RA), and Contractual Service Margin (CSM), and shows how each block rolls forward period by period.</t>
  </si>
  <si>
    <t>Bonus: Claim Development</t>
  </si>
  <si>
    <t>Claim Development →</t>
  </si>
  <si>
    <t>Assumptions (Claim Dev), P&amp;L (Claim Dev), Balance Sheet (Claim Dev)</t>
  </si>
  <si>
    <t>A bonus episode that sits at the end of the workbook. Its purpose is to show that under IFRS 17 it is the INCURRED date that drives the financial statements, not whether a claim has been paid in cash or still sits as a reserve. Same contract as v1 (no discounting, no experience variance), but cash payment of claims is split: 80% paid in the year incurred, 20% paid the following year. The P&amp;L is identical to v1 because revenue and expense are recognised when claims are incurred, regardless of when cash leaves. The only changes are on the Balance Sheet: a Liability for Incurred Claims (Claims Payable) holds the unpaid portion, the insurance liability splits into LRC (remaining coverage) and LIC (incurred but unpaid), and a Year 4 column captures the tail payment from Year 3. This also brings the Balance Sheet closer to what you would see in a real-world insurer's accounts, where the LRC/LIC split is standard presentation.</t>
  </si>
  <si>
    <t>BEL at End Y2 (t=2), REVISED estimates, NEW curve</t>
  </si>
  <si>
    <t>Created by Francisco Martinez Checa,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</si>
</sst>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quot;-&quot;"/>
    <numFmt numFmtId="167" formatCode="0.0000"/>
    <numFmt numFmtId="168" formatCode="d\-mmm\-yy"/>
  </numFmts>
  <fonts count="41"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i/>
      <sz val="11"/>
      <color rgb="FF666666"/>
      <name val="Aptos Narrow"/>
      <family val="2"/>
      <scheme val="minor"/>
    </font>
    <font>
      <b/>
      <sz val="11"/>
      <color rgb="FF0000FF"/>
      <name val="Aptos Narrow"/>
      <family val="2"/>
      <scheme val="minor"/>
    </font>
    <font>
      <sz val="11"/>
      <color rgb="FF999999"/>
      <name val="Aptos Narrow"/>
      <family val="2"/>
      <scheme val="minor"/>
    </font>
    <font>
      <i/>
      <sz val="11"/>
      <color rgb="FF999999"/>
      <name val="Aptos Narrow"/>
      <family val="2"/>
      <scheme val="minor"/>
    </font>
    <font>
      <b/>
      <sz val="11"/>
      <color rgb="FFFF0000"/>
      <name val="Aptos Narrow"/>
      <family val="2"/>
      <scheme val="minor"/>
    </font>
    <font>
      <b/>
      <sz val="12"/>
      <color rgb="FF666666"/>
      <name val="Aptos Narrow"/>
      <family val="2"/>
      <scheme val="minor"/>
    </font>
    <font>
      <i/>
      <sz val="9"/>
      <color rgb="FF999999"/>
      <name val="Aptos Narrow"/>
      <family val="2"/>
      <scheme val="minor"/>
    </font>
    <font>
      <b/>
      <sz val="9"/>
      <color theme="1"/>
      <name val="Aptos Narrow"/>
      <family val="2"/>
      <scheme val="minor"/>
    </font>
    <font>
      <b/>
      <sz val="14"/>
      <color theme="1"/>
      <name val="Aptos Narrow"/>
      <scheme val="minor"/>
    </font>
    <font>
      <i/>
      <sz val="11"/>
      <color rgb="FF666666"/>
      <name val="Aptos Narrow"/>
      <scheme val="minor"/>
    </font>
    <font>
      <sz val="11"/>
      <color theme="1"/>
      <name val="Aptos Narrow"/>
      <scheme val="minor"/>
    </font>
    <font>
      <b/>
      <sz val="11"/>
      <color theme="1"/>
      <name val="Aptos Narrow"/>
      <scheme val="minor"/>
    </font>
    <font>
      <b/>
      <sz val="11"/>
      <color rgb="FFFF0000"/>
      <name val="Aptos Narrow"/>
      <scheme val="minor"/>
    </font>
    <font>
      <b/>
      <i/>
      <sz val="11"/>
      <color rgb="FF666666"/>
      <name val="Aptos Narrow"/>
      <scheme val="minor"/>
    </font>
    <font>
      <b/>
      <sz val="11"/>
      <color rgb="FF666666"/>
      <name val="Aptos Narrow"/>
      <scheme val="minor"/>
    </font>
    <font>
      <sz val="11"/>
      <color rgb="FF0000FF"/>
      <name val="Aptos Narrow"/>
      <scheme val="minor"/>
    </font>
    <font>
      <b/>
      <sz val="11"/>
      <color rgb="FF0000FF"/>
      <name val="Aptos Narrow"/>
      <scheme val="minor"/>
    </font>
    <font>
      <i/>
      <sz val="9"/>
      <color rgb="FF999999"/>
      <name val="Aptos Narrow"/>
      <scheme val="minor"/>
    </font>
    <font>
      <b/>
      <sz val="9"/>
      <color theme="1"/>
      <name val="Aptos Narrow"/>
      <scheme val="minor"/>
    </font>
    <font>
      <sz val="11"/>
      <color rgb="FFFF0000"/>
      <name val="Aptos Narrow"/>
      <scheme val="minor"/>
    </font>
    <font>
      <sz val="11"/>
      <color rgb="FF999999"/>
      <name val="Aptos Narrow"/>
      <scheme val="minor"/>
    </font>
    <font>
      <i/>
      <sz val="11"/>
      <color rgb="FF999999"/>
      <name val="Aptos Narrow"/>
      <scheme val="minor"/>
    </font>
    <font>
      <b/>
      <sz val="18"/>
      <color rgb="FF1F3864"/>
      <name val="Calibri"/>
    </font>
    <font>
      <i/>
      <sz val="11"/>
      <color rgb="FF4472C4"/>
      <name val="Calibri"/>
    </font>
    <font>
      <b/>
      <sz val="12"/>
      <color rgb="FF1F3864"/>
      <name val="Calibri"/>
    </font>
    <font>
      <sz val="11"/>
      <color theme="1"/>
      <name val="Calibri"/>
    </font>
    <font>
      <b/>
      <sz val="11"/>
      <color rgb="FFFFFFFF"/>
      <name val="Calibri"/>
    </font>
    <font>
      <b/>
      <sz val="11"/>
      <color theme="1"/>
      <name val="Calibri"/>
    </font>
    <font>
      <b/>
      <sz val="11"/>
      <color rgb="FF1F3864"/>
      <name val="Calibri"/>
    </font>
    <font>
      <sz val="11"/>
      <color rgb="FF1F3864"/>
      <name val="Calibri"/>
      <family val="2"/>
    </font>
    <font>
      <b/>
      <sz val="11"/>
      <color rgb="FFBF8F00"/>
      <name val="Aptos Narrow"/>
      <scheme val="minor"/>
    </font>
    <font>
      <b/>
      <i/>
      <sz val="11"/>
      <color rgb="FF999999"/>
      <name val="Aptos Narrow"/>
      <scheme val="minor"/>
    </font>
    <font>
      <sz val="11"/>
      <color rgb="FF000000"/>
      <name val="Aptos Narrow"/>
      <scheme val="minor"/>
    </font>
    <font>
      <b/>
      <sz val="11"/>
      <color rgb="FFBF8F00"/>
      <name val="Aptos Narrow"/>
      <family val="2"/>
      <scheme val="minor"/>
    </font>
    <font>
      <sz val="11"/>
      <color rgb="FF000000"/>
      <name val="Aptos Narrow"/>
      <family val="2"/>
      <scheme val="minor"/>
    </font>
    <font>
      <b/>
      <sz val="11"/>
      <color rgb="FF666666"/>
      <name val="Aptos Narrow"/>
      <family val="2"/>
      <scheme val="minor"/>
    </font>
    <font>
      <b/>
      <i/>
      <sz val="11"/>
      <color rgb="FF666666"/>
      <name val="Aptos Narrow"/>
      <family val="2"/>
      <scheme val="minor"/>
    </font>
  </fonts>
  <fills count="10">
    <fill>
      <patternFill patternType="none"/>
    </fill>
    <fill>
      <patternFill patternType="gray125"/>
    </fill>
    <fill>
      <patternFill patternType="solid">
        <fgColor rgb="FFD9E2F3"/>
        <bgColor indexed="64"/>
      </patternFill>
    </fill>
    <fill>
      <patternFill patternType="solid">
        <fgColor rgb="FFE2EFDA"/>
        <bgColor indexed="64"/>
      </patternFill>
    </fill>
    <fill>
      <patternFill patternType="solid">
        <fgColor rgb="FFFFF2CC"/>
        <bgColor indexed="64"/>
      </patternFill>
    </fill>
    <fill>
      <patternFill patternType="solid">
        <fgColor rgb="FFFCE4EC"/>
        <bgColor indexed="64"/>
      </patternFill>
    </fill>
    <fill>
      <patternFill patternType="solid">
        <fgColor rgb="FF1F3864"/>
        <bgColor indexed="64"/>
      </patternFill>
    </fill>
    <fill>
      <patternFill patternType="solid">
        <fgColor rgb="FFD6DCE4"/>
        <bgColor indexed="64"/>
      </patternFill>
    </fill>
    <fill>
      <patternFill patternType="solid">
        <fgColor theme="0"/>
        <bgColor indexed="64"/>
      </patternFill>
    </fill>
    <fill>
      <patternFill patternType="solid">
        <fgColor rgb="FFD6E4F0"/>
        <bgColor indexed="64"/>
      </patternFill>
    </fill>
  </fills>
  <borders count="7">
    <border>
      <left/>
      <right/>
      <top/>
      <bottom/>
      <diagonal/>
    </border>
    <border>
      <left/>
      <right/>
      <top style="thin">
        <color auto="1"/>
      </top>
      <bottom style="double">
        <color auto="1"/>
      </bottom>
      <diagonal/>
    </border>
    <border>
      <left style="thin">
        <color rgb="FF8DB4E2"/>
      </left>
      <right style="thin">
        <color rgb="FF8DB4E2"/>
      </right>
      <top style="thin">
        <color rgb="FF8DB4E2"/>
      </top>
      <bottom style="thin">
        <color rgb="FF8DB4E2"/>
      </bottom>
      <diagonal/>
    </border>
    <border>
      <left style="thin">
        <color rgb="FF8DB4E2"/>
      </left>
      <right style="thin">
        <color rgb="FF8DB4E2"/>
      </right>
      <top style="thin">
        <color rgb="FF8DB4E2"/>
      </top>
      <bottom/>
      <diagonal/>
    </border>
    <border>
      <left/>
      <right/>
      <top/>
      <bottom style="double">
        <color rgb="FF000000"/>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16">
    <xf numFmtId="0" fontId="0" fillId="0" borderId="0" xfId="0"/>
    <xf numFmtId="0" fontId="3" fillId="0" borderId="0" xfId="0" applyFont="1"/>
    <xf numFmtId="0" fontId="4" fillId="0" borderId="0" xfId="0" applyFont="1"/>
    <xf numFmtId="0" fontId="2" fillId="0" borderId="0" xfId="0" applyFont="1"/>
    <xf numFmtId="0" fontId="2" fillId="2" borderId="0" xfId="0" applyFont="1" applyFill="1"/>
    <xf numFmtId="0" fontId="0" fillId="2" borderId="0" xfId="0" applyFill="1"/>
    <xf numFmtId="0" fontId="5" fillId="0" borderId="0" xfId="0" applyFont="1"/>
    <xf numFmtId="164" fontId="5" fillId="0" borderId="0" xfId="0" applyNumberFormat="1" applyFont="1"/>
    <xf numFmtId="0" fontId="6" fillId="0" borderId="0" xfId="0" applyFont="1"/>
    <xf numFmtId="0" fontId="7" fillId="0" borderId="0" xfId="0" applyFont="1"/>
    <xf numFmtId="0" fontId="2" fillId="2" borderId="0" xfId="0" applyFont="1" applyFill="1" applyAlignment="1">
      <alignment horizontal="center"/>
    </xf>
    <xf numFmtId="3" fontId="5" fillId="0" borderId="0" xfId="0" applyNumberFormat="1" applyFont="1"/>
    <xf numFmtId="3" fontId="0" fillId="0" borderId="0" xfId="0" applyNumberFormat="1"/>
    <xf numFmtId="3" fontId="2" fillId="0" borderId="0" xfId="0" applyNumberFormat="1" applyFont="1"/>
    <xf numFmtId="165" fontId="0" fillId="0" borderId="0" xfId="0" applyNumberFormat="1"/>
    <xf numFmtId="0" fontId="8" fillId="0" borderId="0" xfId="0" applyFont="1"/>
    <xf numFmtId="165" fontId="2" fillId="0" borderId="0" xfId="0" applyNumberFormat="1" applyFont="1"/>
    <xf numFmtId="0" fontId="2" fillId="3" borderId="0" xfId="0" applyFont="1" applyFill="1"/>
    <xf numFmtId="0" fontId="0" fillId="3" borderId="0" xfId="0" applyFill="1"/>
    <xf numFmtId="0" fontId="1" fillId="0" borderId="0" xfId="0" applyFont="1"/>
    <xf numFmtId="3" fontId="2" fillId="0" borderId="1" xfId="0" applyNumberFormat="1" applyFont="1" applyBorder="1"/>
    <xf numFmtId="0" fontId="9" fillId="0" borderId="0" xfId="0" applyFont="1"/>
    <xf numFmtId="10" fontId="5" fillId="0" borderId="0" xfId="0" applyNumberFormat="1" applyFont="1"/>
    <xf numFmtId="0" fontId="10" fillId="0" borderId="0" xfId="0" applyFont="1"/>
    <xf numFmtId="167" fontId="0" fillId="0" borderId="0" xfId="0" applyNumberFormat="1"/>
    <xf numFmtId="0" fontId="11" fillId="2" borderId="0" xfId="0" applyFont="1" applyFill="1" applyAlignment="1">
      <alignment horizontal="center"/>
    </xf>
    <xf numFmtId="4" fontId="0" fillId="0" borderId="0" xfId="0" applyNumberFormat="1"/>
    <xf numFmtId="4" fontId="2" fillId="0" borderId="0" xfId="0" applyNumberFormat="1" applyFont="1"/>
    <xf numFmtId="4" fontId="2" fillId="3" borderId="0" xfId="0" applyNumberFormat="1" applyFont="1" applyFill="1"/>
    <xf numFmtId="0" fontId="0" fillId="4" borderId="0" xfId="0" applyFill="1"/>
    <xf numFmtId="4" fontId="6" fillId="0" borderId="0" xfId="0" applyNumberFormat="1" applyFont="1"/>
    <xf numFmtId="0" fontId="12" fillId="0" borderId="0" xfId="0" applyFont="1"/>
    <xf numFmtId="0" fontId="13" fillId="0" borderId="0" xfId="0" applyFont="1"/>
    <xf numFmtId="0" fontId="14" fillId="0" borderId="0" xfId="0" applyFont="1"/>
    <xf numFmtId="0" fontId="15" fillId="0" borderId="0" xfId="0" applyFont="1"/>
    <xf numFmtId="0" fontId="15" fillId="2" borderId="0" xfId="0" applyFont="1" applyFill="1"/>
    <xf numFmtId="0" fontId="15" fillId="2" borderId="0" xfId="0" applyFont="1" applyFill="1" applyAlignment="1">
      <alignment horizontal="center"/>
    </xf>
    <xf numFmtId="0" fontId="16" fillId="0" borderId="0" xfId="0" applyFont="1"/>
    <xf numFmtId="3" fontId="15" fillId="0" borderId="0" xfId="0" applyNumberFormat="1" applyFont="1"/>
    <xf numFmtId="3" fontId="14" fillId="0" borderId="0" xfId="0" applyNumberFormat="1" applyFont="1"/>
    <xf numFmtId="4" fontId="15" fillId="0" borderId="0" xfId="0" applyNumberFormat="1" applyFont="1"/>
    <xf numFmtId="4" fontId="14" fillId="0" borderId="0" xfId="0" applyNumberFormat="1" applyFont="1"/>
    <xf numFmtId="15" fontId="2" fillId="2" borderId="0" xfId="0" applyNumberFormat="1" applyFont="1" applyFill="1" applyAlignment="1">
      <alignment horizontal="center"/>
    </xf>
    <xf numFmtId="15" fontId="15" fillId="2" borderId="0" xfId="0" applyNumberFormat="1" applyFont="1" applyFill="1" applyAlignment="1">
      <alignment horizontal="center"/>
    </xf>
    <xf numFmtId="0" fontId="17" fillId="0" borderId="0" xfId="0" applyFont="1"/>
    <xf numFmtId="0" fontId="18" fillId="0" borderId="0" xfId="0" applyFont="1"/>
    <xf numFmtId="0" fontId="17" fillId="2" borderId="0" xfId="0" applyFont="1" applyFill="1"/>
    <xf numFmtId="0" fontId="20" fillId="0" borderId="0" xfId="0" applyFont="1"/>
    <xf numFmtId="3" fontId="20" fillId="0" borderId="0" xfId="0" applyNumberFormat="1" applyFont="1"/>
    <xf numFmtId="0" fontId="15" fillId="4" borderId="0" xfId="0" applyFont="1" applyFill="1"/>
    <xf numFmtId="15" fontId="15" fillId="4" borderId="0" xfId="0" applyNumberFormat="1" applyFont="1" applyFill="1" applyAlignment="1">
      <alignment horizontal="center"/>
    </xf>
    <xf numFmtId="0" fontId="21" fillId="0" borderId="0" xfId="0" applyFont="1"/>
    <xf numFmtId="10" fontId="20" fillId="0" borderId="0" xfId="0" applyNumberFormat="1" applyFont="1"/>
    <xf numFmtId="167" fontId="14" fillId="0" borderId="0" xfId="0" applyNumberFormat="1" applyFont="1"/>
    <xf numFmtId="0" fontId="22" fillId="2" borderId="0" xfId="0" applyFont="1" applyFill="1" applyAlignment="1">
      <alignment horizontal="center"/>
    </xf>
    <xf numFmtId="0" fontId="23" fillId="0" borderId="0" xfId="0" applyFont="1"/>
    <xf numFmtId="0" fontId="25" fillId="0" borderId="0" xfId="0" applyFont="1"/>
    <xf numFmtId="4" fontId="24" fillId="0" borderId="0" xfId="0" applyNumberFormat="1" applyFont="1"/>
    <xf numFmtId="0" fontId="15" fillId="3" borderId="0" xfId="0" applyFont="1" applyFill="1"/>
    <xf numFmtId="4" fontId="15" fillId="3" borderId="0" xfId="0" applyNumberFormat="1" applyFont="1" applyFill="1"/>
    <xf numFmtId="4" fontId="15" fillId="4" borderId="0" xfId="0" applyNumberFormat="1" applyFont="1" applyFill="1"/>
    <xf numFmtId="4" fontId="19" fillId="0" borderId="0" xfId="0" applyNumberFormat="1" applyFont="1"/>
    <xf numFmtId="0" fontId="15" fillId="5" borderId="0" xfId="0" applyFont="1" applyFill="1"/>
    <xf numFmtId="0" fontId="0" fillId="5" borderId="0" xfId="0" applyFill="1"/>
    <xf numFmtId="15" fontId="15" fillId="5" borderId="0" xfId="0" applyNumberFormat="1" applyFont="1" applyFill="1" applyAlignment="1">
      <alignment horizontal="center"/>
    </xf>
    <xf numFmtId="0" fontId="26" fillId="0" borderId="0" xfId="0" applyFont="1"/>
    <xf numFmtId="0" fontId="27" fillId="0" borderId="0" xfId="0" applyFont="1"/>
    <xf numFmtId="0" fontId="28" fillId="0" borderId="0" xfId="0" applyFont="1"/>
    <xf numFmtId="0" fontId="29" fillId="0" borderId="0" xfId="0" applyFont="1"/>
    <xf numFmtId="0" fontId="32" fillId="0" borderId="0" xfId="0" applyFont="1"/>
    <xf numFmtId="0" fontId="29" fillId="0" borderId="0" xfId="0" applyFont="1" applyAlignment="1">
      <alignment wrapText="1"/>
    </xf>
    <xf numFmtId="0" fontId="30" fillId="6" borderId="2" xfId="0" applyFont="1" applyFill="1" applyBorder="1"/>
    <xf numFmtId="0" fontId="31" fillId="7" borderId="2" xfId="0" applyFont="1" applyFill="1" applyBorder="1" applyAlignment="1">
      <alignment vertical="top" wrapText="1"/>
    </xf>
    <xf numFmtId="0" fontId="29" fillId="7" borderId="2" xfId="0" applyFont="1" applyFill="1" applyBorder="1" applyAlignment="1">
      <alignment vertical="top"/>
    </xf>
    <xf numFmtId="0" fontId="29" fillId="7" borderId="2" xfId="0" applyFont="1" applyFill="1" applyBorder="1" applyAlignment="1">
      <alignment vertical="top" wrapText="1"/>
    </xf>
    <xf numFmtId="0" fontId="31" fillId="0" borderId="2" xfId="0" applyFont="1" applyBorder="1" applyAlignment="1">
      <alignment vertical="top" wrapText="1"/>
    </xf>
    <xf numFmtId="0" fontId="29" fillId="0" borderId="2" xfId="0" applyFont="1" applyBorder="1" applyAlignment="1">
      <alignment vertical="top"/>
    </xf>
    <xf numFmtId="0" fontId="29" fillId="0" borderId="2" xfId="0" applyFont="1" applyBorder="1" applyAlignment="1">
      <alignment vertical="top" wrapText="1"/>
    </xf>
    <xf numFmtId="0" fontId="31" fillId="0" borderId="3" xfId="0" applyFont="1" applyBorder="1" applyAlignment="1">
      <alignment vertical="top" wrapText="1"/>
    </xf>
    <xf numFmtId="0" fontId="29" fillId="0" borderId="3" xfId="0" applyFont="1" applyBorder="1" applyAlignment="1">
      <alignment vertical="top"/>
    </xf>
    <xf numFmtId="0" fontId="29" fillId="0" borderId="3" xfId="0" applyFont="1" applyBorder="1" applyAlignment="1">
      <alignment vertical="top" wrapText="1"/>
    </xf>
    <xf numFmtId="0" fontId="33" fillId="0" borderId="0" xfId="0" applyFont="1"/>
    <xf numFmtId="0" fontId="15" fillId="9" borderId="0" xfId="0" applyFont="1" applyFill="1"/>
    <xf numFmtId="168" fontId="15" fillId="2" borderId="0" xfId="0" applyNumberFormat="1" applyFont="1" applyFill="1" applyAlignment="1">
      <alignment horizontal="center"/>
    </xf>
    <xf numFmtId="4" fontId="2" fillId="9" borderId="0" xfId="0" applyNumberFormat="1" applyFont="1" applyFill="1"/>
    <xf numFmtId="0" fontId="34" fillId="0" borderId="0" xfId="0" applyFont="1"/>
    <xf numFmtId="0" fontId="35" fillId="0" borderId="0" xfId="0" applyFont="1"/>
    <xf numFmtId="0" fontId="18" fillId="0" borderId="0" xfId="0" applyFont="1" applyAlignment="1">
      <alignment horizontal="center"/>
    </xf>
    <xf numFmtId="3" fontId="19" fillId="0" borderId="0" xfId="0" applyNumberFormat="1" applyFont="1"/>
    <xf numFmtId="0" fontId="36" fillId="0" borderId="0" xfId="0" applyFont="1"/>
    <xf numFmtId="0" fontId="15" fillId="4" borderId="4" xfId="0" applyFont="1" applyFill="1" applyBorder="1"/>
    <xf numFmtId="4" fontId="2" fillId="4" borderId="4" xfId="0" applyNumberFormat="1" applyFont="1" applyFill="1" applyBorder="1"/>
    <xf numFmtId="0" fontId="2" fillId="4" borderId="4" xfId="0" applyFont="1" applyFill="1" applyBorder="1"/>
    <xf numFmtId="0" fontId="0" fillId="4" borderId="4" xfId="0" applyFill="1" applyBorder="1"/>
    <xf numFmtId="4" fontId="15" fillId="4" borderId="4" xfId="0" applyNumberFormat="1" applyFont="1" applyFill="1" applyBorder="1"/>
    <xf numFmtId="166" fontId="0" fillId="0" borderId="0" xfId="0" applyNumberFormat="1"/>
    <xf numFmtId="165" fontId="2" fillId="3" borderId="0" xfId="0" applyNumberFormat="1" applyFont="1" applyFill="1"/>
    <xf numFmtId="0" fontId="37" fillId="0" borderId="0" xfId="0" applyFont="1"/>
    <xf numFmtId="0" fontId="38" fillId="0" borderId="0" xfId="0" applyFont="1"/>
    <xf numFmtId="9" fontId="5" fillId="0" borderId="0" xfId="0" applyNumberFormat="1" applyFont="1"/>
    <xf numFmtId="9" fontId="0" fillId="0" borderId="0" xfId="0" applyNumberFormat="1"/>
    <xf numFmtId="168" fontId="2" fillId="2" borderId="0" xfId="0" applyNumberFormat="1" applyFont="1" applyFill="1" applyAlignment="1">
      <alignment horizontal="center"/>
    </xf>
    <xf numFmtId="4" fontId="2" fillId="4" borderId="0" xfId="0" applyNumberFormat="1" applyFont="1" applyFill="1"/>
    <xf numFmtId="0" fontId="39" fillId="0" borderId="0" xfId="0" applyFont="1"/>
    <xf numFmtId="3" fontId="2" fillId="0" borderId="5" xfId="0" applyNumberFormat="1" applyFont="1" applyBorder="1"/>
    <xf numFmtId="3" fontId="2" fillId="0" borderId="6" xfId="0" applyNumberFormat="1" applyFont="1" applyBorder="1"/>
    <xf numFmtId="0" fontId="40" fillId="0" borderId="0" xfId="0" applyFont="1"/>
    <xf numFmtId="0" fontId="29" fillId="8" borderId="0" xfId="0" applyFont="1" applyFill="1" applyAlignment="1">
      <alignment horizontal="left" vertical="center" wrapText="1"/>
    </xf>
    <xf numFmtId="0" fontId="29" fillId="0" borderId="0" xfId="0" applyFont="1" applyAlignment="1">
      <alignment horizontal="left" vertical="center" wrapText="1"/>
    </xf>
    <xf numFmtId="0" fontId="31" fillId="7" borderId="3" xfId="0" applyFont="1" applyFill="1" applyBorder="1" applyAlignment="1">
      <alignment vertical="top" wrapText="1"/>
    </xf>
    <xf numFmtId="0" fontId="29" fillId="7" borderId="3" xfId="0" applyFont="1" applyFill="1" applyBorder="1" applyAlignment="1">
      <alignment vertical="top"/>
    </xf>
    <xf numFmtId="0" fontId="29" fillId="7" borderId="3" xfId="0" applyFont="1" applyFill="1" applyBorder="1" applyAlignment="1">
      <alignment vertical="top" wrapText="1"/>
    </xf>
    <xf numFmtId="0" fontId="0" fillId="0" borderId="0" xfId="0" applyFont="1"/>
    <xf numFmtId="4" fontId="0" fillId="0" borderId="0" xfId="0" applyNumberFormat="1" applyFont="1"/>
    <xf numFmtId="2" fontId="15" fillId="4" borderId="0" xfId="0" applyNumberFormat="1" applyFont="1" applyFill="1"/>
    <xf numFmtId="3" fontId="0"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6"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705211D-3511-4AB6-92A9-E866F30733CB}">
  <we:reference id="wa200009404" version="1.0.0.8" store="en-US" storeType="OMEX"/>
  <we:alternateReferences>
    <we:reference id="WA200009404" version="1.0.0.8" store="" storeType="OMEX"/>
  </we:alternateReferences>
  <we:properties>
    <we:property name="claude.fileId" value="&quot;0760f4aa-ca33-416c-a42b-b0ec63a5b67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acomc999@gmail.com"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E1DC-C317-4CAF-8F75-BFB738FD25FE}">
  <sheetPr>
    <tabColor rgb="FF1F3864"/>
  </sheetPr>
  <dimension ref="B2:E29"/>
  <sheetViews>
    <sheetView showGridLines="0" topLeftCell="A14" workbookViewId="0">
      <selection activeCell="D21" sqref="D21"/>
    </sheetView>
    <sheetView tabSelected="1" topLeftCell="A15" workbookViewId="1">
      <selection activeCell="D32" sqref="D32"/>
    </sheetView>
  </sheetViews>
  <sheetFormatPr defaultRowHeight="15" x14ac:dyDescent="0.25"/>
  <cols>
    <col min="1" max="1" width="3.85546875" customWidth="1"/>
    <col min="2" max="2" width="41.85546875" customWidth="1"/>
    <col min="3" max="3" width="30.42578125" customWidth="1"/>
    <col min="4" max="4" width="107.7109375" customWidth="1"/>
    <col min="5" max="5" width="53.28515625" customWidth="1"/>
  </cols>
  <sheetData>
    <row r="2" spans="2:5" ht="23.25" x14ac:dyDescent="0.35">
      <c r="B2" s="65" t="s">
        <v>129</v>
      </c>
    </row>
    <row r="3" spans="2:5" x14ac:dyDescent="0.25">
      <c r="B3" s="66" t="s">
        <v>143</v>
      </c>
    </row>
    <row r="5" spans="2:5" ht="15.75" x14ac:dyDescent="0.25">
      <c r="B5" s="67" t="s">
        <v>130</v>
      </c>
    </row>
    <row r="6" spans="2:5" ht="79.5" customHeight="1" x14ac:dyDescent="0.25">
      <c r="B6" s="107" t="s">
        <v>266</v>
      </c>
      <c r="C6" s="107"/>
      <c r="D6" s="107"/>
    </row>
    <row r="8" spans="2:5" ht="15.75" x14ac:dyDescent="0.25">
      <c r="B8" s="67" t="s">
        <v>131</v>
      </c>
    </row>
    <row r="9" spans="2:5" ht="45" x14ac:dyDescent="0.25">
      <c r="B9" s="70" t="s">
        <v>230</v>
      </c>
    </row>
    <row r="11" spans="2:5" x14ac:dyDescent="0.25">
      <c r="B11" s="71" t="s">
        <v>132</v>
      </c>
      <c r="C11" s="71" t="s">
        <v>133</v>
      </c>
      <c r="D11" s="71" t="s">
        <v>134</v>
      </c>
      <c r="E11" s="71" t="s">
        <v>135</v>
      </c>
    </row>
    <row r="12" spans="2:5" ht="113.25" customHeight="1" x14ac:dyDescent="0.25">
      <c r="B12" s="72" t="s">
        <v>167</v>
      </c>
      <c r="C12" s="73" t="s">
        <v>136</v>
      </c>
      <c r="D12" s="74" t="s">
        <v>170</v>
      </c>
      <c r="E12" s="74" t="s">
        <v>149</v>
      </c>
    </row>
    <row r="13" spans="2:5" ht="113.25" customHeight="1" x14ac:dyDescent="0.25">
      <c r="B13" s="75" t="s">
        <v>168</v>
      </c>
      <c r="C13" s="76" t="s">
        <v>137</v>
      </c>
      <c r="D13" s="77" t="s">
        <v>144</v>
      </c>
      <c r="E13" s="77" t="s">
        <v>150</v>
      </c>
    </row>
    <row r="14" spans="2:5" ht="113.25" customHeight="1" x14ac:dyDescent="0.25">
      <c r="B14" s="72" t="s">
        <v>204</v>
      </c>
      <c r="C14" s="73" t="s">
        <v>163</v>
      </c>
      <c r="D14" s="74" t="s">
        <v>222</v>
      </c>
      <c r="E14" s="74" t="s">
        <v>205</v>
      </c>
    </row>
    <row r="15" spans="2:5" ht="113.25" customHeight="1" x14ac:dyDescent="0.25">
      <c r="B15" s="78" t="s">
        <v>206</v>
      </c>
      <c r="C15" s="79" t="s">
        <v>138</v>
      </c>
      <c r="D15" s="80" t="s">
        <v>207</v>
      </c>
      <c r="E15" s="80" t="s">
        <v>208</v>
      </c>
    </row>
    <row r="16" spans="2:5" ht="129.75" customHeight="1" x14ac:dyDescent="0.25">
      <c r="B16" s="109" t="s">
        <v>209</v>
      </c>
      <c r="C16" s="110" t="s">
        <v>139</v>
      </c>
      <c r="D16" s="111" t="s">
        <v>210</v>
      </c>
      <c r="E16" s="111" t="s">
        <v>211</v>
      </c>
    </row>
    <row r="17" spans="2:5" ht="129.75" customHeight="1" x14ac:dyDescent="0.25">
      <c r="B17" s="75" t="s">
        <v>267</v>
      </c>
      <c r="C17" s="76" t="s">
        <v>268</v>
      </c>
      <c r="D17" s="77" t="s">
        <v>270</v>
      </c>
      <c r="E17" s="77" t="s">
        <v>269</v>
      </c>
    </row>
    <row r="18" spans="2:5" ht="15.75" x14ac:dyDescent="0.25">
      <c r="B18" s="67" t="s">
        <v>140</v>
      </c>
    </row>
    <row r="19" spans="2:5" x14ac:dyDescent="0.25">
      <c r="B19" s="68" t="s">
        <v>151</v>
      </c>
    </row>
    <row r="20" spans="2:5" x14ac:dyDescent="0.25">
      <c r="B20" s="68" t="s">
        <v>141</v>
      </c>
    </row>
    <row r="21" spans="2:5" x14ac:dyDescent="0.25">
      <c r="B21" s="68" t="s">
        <v>169</v>
      </c>
    </row>
    <row r="22" spans="2:5" x14ac:dyDescent="0.25">
      <c r="B22" s="68"/>
    </row>
    <row r="24" spans="2:5" ht="15.75" x14ac:dyDescent="0.25">
      <c r="B24" s="67" t="s">
        <v>142</v>
      </c>
    </row>
    <row r="25" spans="2:5" ht="71.25" customHeight="1" x14ac:dyDescent="0.25">
      <c r="B25" s="108" t="s">
        <v>231</v>
      </c>
      <c r="C25" s="108"/>
      <c r="D25" s="108"/>
    </row>
    <row r="28" spans="2:5" x14ac:dyDescent="0.25">
      <c r="B28" s="69" t="s">
        <v>272</v>
      </c>
    </row>
    <row r="29" spans="2:5" x14ac:dyDescent="0.25">
      <c r="B29" s="81" t="s">
        <v>148</v>
      </c>
    </row>
  </sheetData>
  <mergeCells count="2">
    <mergeCell ref="B6:D6"/>
    <mergeCell ref="B25:D25"/>
  </mergeCells>
  <hyperlinks>
    <hyperlink ref="B29" r:id="rId1" xr:uid="{4A020749-B40A-451E-B9F4-5089503B488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B6027-F6EC-4004-9DE4-73669536DBDB}">
  <sheetPr>
    <tabColor rgb="FFA6A6A6"/>
  </sheetPr>
  <dimension ref="A1"/>
  <sheetViews>
    <sheetView workbookViewId="0"/>
    <sheetView workbookViewId="1"/>
  </sheetViews>
  <sheetFormatPr defaultRowHeight="15" x14ac:dyDescent="0.25"/>
  <sheetData>
    <row r="1" spans="1:1" ht="15.75" x14ac:dyDescent="0.25">
      <c r="A1" s="21"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A519-EAAD-4EA2-AFB0-D2B1CD433911}">
  <dimension ref="A1:C33"/>
  <sheetViews>
    <sheetView workbookViewId="0"/>
    <sheetView workbookViewId="1"/>
  </sheetViews>
  <sheetFormatPr defaultRowHeight="15" x14ac:dyDescent="0.25"/>
  <cols>
    <col min="1" max="1" width="53.28515625" customWidth="1"/>
    <col min="2" max="2" width="19" customWidth="1"/>
    <col min="3" max="3" width="28.5703125" customWidth="1"/>
  </cols>
  <sheetData>
    <row r="1" spans="1:3" ht="18.75" x14ac:dyDescent="0.3">
      <c r="A1" s="1" t="s">
        <v>171</v>
      </c>
    </row>
    <row r="2" spans="1:3" x14ac:dyDescent="0.25">
      <c r="A2" s="44" t="s">
        <v>103</v>
      </c>
    </row>
    <row r="3" spans="1:3" x14ac:dyDescent="0.25">
      <c r="A3" s="32" t="s">
        <v>165</v>
      </c>
    </row>
    <row r="4" spans="1:3" x14ac:dyDescent="0.25">
      <c r="A4" s="32" t="s">
        <v>172</v>
      </c>
    </row>
    <row r="5" spans="1:3" x14ac:dyDescent="0.25">
      <c r="A5" s="32" t="s">
        <v>104</v>
      </c>
    </row>
    <row r="6" spans="1:3" x14ac:dyDescent="0.25">
      <c r="A6" s="32" t="s">
        <v>105</v>
      </c>
    </row>
    <row r="7" spans="1:3" x14ac:dyDescent="0.25">
      <c r="A7" s="32" t="s">
        <v>106</v>
      </c>
    </row>
    <row r="9" spans="1:3" x14ac:dyDescent="0.25">
      <c r="A9" s="4" t="s">
        <v>0</v>
      </c>
      <c r="B9" s="5"/>
      <c r="C9" s="5"/>
    </row>
    <row r="10" spans="1:3" x14ac:dyDescent="0.25">
      <c r="A10" t="s">
        <v>1</v>
      </c>
      <c r="B10" s="6">
        <v>3</v>
      </c>
    </row>
    <row r="11" spans="1:3" x14ac:dyDescent="0.25">
      <c r="A11" t="s">
        <v>2</v>
      </c>
      <c r="B11" s="7">
        <v>0</v>
      </c>
      <c r="C11" s="9"/>
    </row>
    <row r="13" spans="1:3" x14ac:dyDescent="0.25">
      <c r="A13" s="4" t="s">
        <v>3</v>
      </c>
      <c r="B13" s="10" t="s">
        <v>4</v>
      </c>
      <c r="C13" s="10" t="s">
        <v>5</v>
      </c>
    </row>
    <row r="14" spans="1:3" x14ac:dyDescent="0.25">
      <c r="A14" t="s">
        <v>6</v>
      </c>
      <c r="B14" s="11">
        <v>1000</v>
      </c>
      <c r="C14" s="9"/>
    </row>
    <row r="15" spans="1:3" x14ac:dyDescent="0.25">
      <c r="A15" t="s">
        <v>7</v>
      </c>
      <c r="B15" s="11">
        <v>600</v>
      </c>
      <c r="C15" s="12">
        <f>B15/B10</f>
        <v>200</v>
      </c>
    </row>
    <row r="16" spans="1:3" x14ac:dyDescent="0.25">
      <c r="A16" t="s">
        <v>8</v>
      </c>
      <c r="B16" s="11">
        <v>150</v>
      </c>
      <c r="C16" s="12">
        <f>B16/B10</f>
        <v>50</v>
      </c>
    </row>
    <row r="17" spans="1:3" x14ac:dyDescent="0.25">
      <c r="A17" t="s">
        <v>9</v>
      </c>
      <c r="B17" s="11">
        <v>90</v>
      </c>
      <c r="C17" s="12">
        <f>B17/B10</f>
        <v>30</v>
      </c>
    </row>
    <row r="19" spans="1:3" x14ac:dyDescent="0.25">
      <c r="A19" s="4" t="s">
        <v>10</v>
      </c>
      <c r="B19" s="5"/>
      <c r="C19" s="5"/>
    </row>
    <row r="20" spans="1:3" x14ac:dyDescent="0.25">
      <c r="A20" t="s">
        <v>51</v>
      </c>
      <c r="B20" s="12">
        <f>B15+B16</f>
        <v>750</v>
      </c>
    </row>
    <row r="21" spans="1:3" x14ac:dyDescent="0.25">
      <c r="A21" t="s">
        <v>11</v>
      </c>
      <c r="B21" s="12">
        <f>B17</f>
        <v>90</v>
      </c>
    </row>
    <row r="22" spans="1:3" x14ac:dyDescent="0.25">
      <c r="A22" t="s">
        <v>12</v>
      </c>
      <c r="B22" s="13">
        <f>B14-B20-B17</f>
        <v>160</v>
      </c>
    </row>
    <row r="23" spans="1:3" ht="15.75" thickBot="1" x14ac:dyDescent="0.3">
      <c r="A23" t="s">
        <v>13</v>
      </c>
      <c r="B23" s="20">
        <f>B20+B21+B22</f>
        <v>1000</v>
      </c>
    </row>
    <row r="24" spans="1:3" ht="15.75" thickTop="1" x14ac:dyDescent="0.25"/>
    <row r="25" spans="1:3" x14ac:dyDescent="0.25">
      <c r="A25" s="4" t="s">
        <v>14</v>
      </c>
      <c r="B25" s="5"/>
    </row>
    <row r="26" spans="1:3" x14ac:dyDescent="0.25">
      <c r="A26" t="s">
        <v>15</v>
      </c>
      <c r="B26" s="14">
        <f>B22/B10</f>
        <v>53.333333333333336</v>
      </c>
    </row>
    <row r="27" spans="1:3" x14ac:dyDescent="0.25">
      <c r="A27" t="s">
        <v>16</v>
      </c>
      <c r="B27" s="14">
        <f>B17/B10</f>
        <v>30</v>
      </c>
    </row>
    <row r="29" spans="1:3" x14ac:dyDescent="0.25">
      <c r="A29" s="3" t="s">
        <v>17</v>
      </c>
    </row>
    <row r="30" spans="1:3" x14ac:dyDescent="0.25">
      <c r="A30" t="s">
        <v>145</v>
      </c>
    </row>
    <row r="31" spans="1:3" x14ac:dyDescent="0.25">
      <c r="A31" s="2" t="s">
        <v>146</v>
      </c>
    </row>
    <row r="32" spans="1:3" x14ac:dyDescent="0.25">
      <c r="A32" t="s">
        <v>147</v>
      </c>
    </row>
    <row r="33" spans="1:1" x14ac:dyDescent="0.25">
      <c r="A33" t="s">
        <v>173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A4B72-A216-4745-AB51-BAFF53752C83}">
  <dimension ref="A1:E37"/>
  <sheetViews>
    <sheetView workbookViewId="0">
      <selection activeCell="B46" sqref="B46"/>
    </sheetView>
    <sheetView workbookViewId="1"/>
  </sheetViews>
  <sheetFormatPr defaultRowHeight="15" x14ac:dyDescent="0.25"/>
  <cols>
    <col min="1" max="1" width="53.28515625" customWidth="1"/>
    <col min="2" max="2" width="9.5703125" customWidth="1"/>
    <col min="3" max="5" width="21" customWidth="1"/>
  </cols>
  <sheetData>
    <row r="1" spans="1:5" ht="18.75" x14ac:dyDescent="0.3">
      <c r="A1" s="1" t="s">
        <v>35</v>
      </c>
    </row>
    <row r="2" spans="1:5" x14ac:dyDescent="0.25">
      <c r="A2" s="2" t="s">
        <v>174</v>
      </c>
    </row>
    <row r="4" spans="1:5" x14ac:dyDescent="0.25">
      <c r="C4" s="42">
        <v>46022</v>
      </c>
      <c r="D4" s="42">
        <v>46387</v>
      </c>
      <c r="E4" s="42">
        <v>46752</v>
      </c>
    </row>
    <row r="5" spans="1:5" x14ac:dyDescent="0.25">
      <c r="A5" s="3" t="s">
        <v>36</v>
      </c>
    </row>
    <row r="6" spans="1:5" x14ac:dyDescent="0.25">
      <c r="A6" t="s">
        <v>175</v>
      </c>
      <c r="C6" s="12">
        <f>'Assumptions (v1)'!C15</f>
        <v>200</v>
      </c>
      <c r="D6" s="12">
        <f>'Assumptions (v1)'!C15</f>
        <v>200</v>
      </c>
      <c r="E6" s="12">
        <f>'Assumptions (v1)'!C15</f>
        <v>200</v>
      </c>
    </row>
    <row r="7" spans="1:5" x14ac:dyDescent="0.25">
      <c r="A7" t="s">
        <v>176</v>
      </c>
      <c r="C7" s="12">
        <f>'Assumptions (v1)'!C16</f>
        <v>50</v>
      </c>
      <c r="D7" s="12">
        <f>'Assumptions (v1)'!C16</f>
        <v>50</v>
      </c>
      <c r="E7" s="12">
        <f>'Assumptions (v1)'!C16</f>
        <v>50</v>
      </c>
    </row>
    <row r="8" spans="1:5" x14ac:dyDescent="0.25">
      <c r="A8" t="s">
        <v>37</v>
      </c>
      <c r="C8" s="14">
        <f>'Assumptions (v1)'!B27</f>
        <v>30</v>
      </c>
      <c r="D8" s="14">
        <f>'Assumptions (v1)'!B27</f>
        <v>30</v>
      </c>
      <c r="E8" s="14">
        <f>'Assumptions (v1)'!B27</f>
        <v>30</v>
      </c>
    </row>
    <row r="9" spans="1:5" x14ac:dyDescent="0.25">
      <c r="A9" t="s">
        <v>38</v>
      </c>
      <c r="C9" s="14">
        <f>'Assumptions (v1)'!B26</f>
        <v>53.333333333333336</v>
      </c>
      <c r="D9" s="14">
        <f>'Assumptions (v1)'!B26</f>
        <v>53.333333333333336</v>
      </c>
      <c r="E9" s="14">
        <f>'Assumptions (v1)'!B26</f>
        <v>53.333333333333336</v>
      </c>
    </row>
    <row r="11" spans="1:5" x14ac:dyDescent="0.25">
      <c r="A11" s="3" t="s">
        <v>39</v>
      </c>
      <c r="C11" s="16">
        <f>SUM(C6:C9)</f>
        <v>333.33333333333331</v>
      </c>
      <c r="D11" s="16">
        <f>SUM(D6:D9)</f>
        <v>333.33333333333331</v>
      </c>
      <c r="E11" s="16">
        <f>SUM(E6:E9)</f>
        <v>333.33333333333331</v>
      </c>
    </row>
    <row r="13" spans="1:5" x14ac:dyDescent="0.25">
      <c r="A13" s="3" t="s">
        <v>40</v>
      </c>
    </row>
    <row r="14" spans="1:5" x14ac:dyDescent="0.25">
      <c r="A14" s="33" t="s">
        <v>41</v>
      </c>
      <c r="C14" s="95">
        <f>'Assumptions (v1)'!C15</f>
        <v>200</v>
      </c>
      <c r="D14" s="95">
        <f>'Assumptions (v1)'!C15</f>
        <v>200</v>
      </c>
      <c r="E14" s="95">
        <f>'Assumptions (v1)'!C15</f>
        <v>200</v>
      </c>
    </row>
    <row r="15" spans="1:5" x14ac:dyDescent="0.25">
      <c r="A15" t="s">
        <v>42</v>
      </c>
      <c r="C15" s="95">
        <f>'Assumptions (v1)'!C16</f>
        <v>50</v>
      </c>
      <c r="D15" s="95">
        <f>'Assumptions (v1)'!C16</f>
        <v>50</v>
      </c>
      <c r="E15" s="95">
        <f>'Assumptions (v1)'!C16</f>
        <v>50</v>
      </c>
    </row>
    <row r="17" spans="1:5" x14ac:dyDescent="0.25">
      <c r="A17" s="3" t="s">
        <v>43</v>
      </c>
      <c r="C17" s="16">
        <f>-(C14+C15)</f>
        <v>-250</v>
      </c>
      <c r="D17" s="16">
        <f>-(D14+D15)</f>
        <v>-250</v>
      </c>
      <c r="E17" s="16">
        <f>-(E14+E15)</f>
        <v>-250</v>
      </c>
    </row>
    <row r="20" spans="1:5" x14ac:dyDescent="0.25">
      <c r="A20" s="17" t="s">
        <v>44</v>
      </c>
      <c r="B20" s="18"/>
      <c r="C20" s="96">
        <f>C11+C17</f>
        <v>83.333333333333314</v>
      </c>
      <c r="D20" s="96">
        <f>D11+D17</f>
        <v>83.333333333333314</v>
      </c>
      <c r="E20" s="96">
        <f>E11+E17</f>
        <v>83.333333333333314</v>
      </c>
    </row>
    <row r="22" spans="1:5" ht="15.75" thickBot="1" x14ac:dyDescent="0.3">
      <c r="A22" s="92" t="s">
        <v>45</v>
      </c>
      <c r="B22" s="93"/>
      <c r="C22" s="91">
        <f>C20</f>
        <v>83.333333333333314</v>
      </c>
      <c r="D22" s="91">
        <f>D20</f>
        <v>83.333333333333314</v>
      </c>
      <c r="E22" s="91">
        <f>E20</f>
        <v>83.333333333333314</v>
      </c>
    </row>
    <row r="23" spans="1:5" ht="15.75" thickTop="1" x14ac:dyDescent="0.25"/>
    <row r="24" spans="1:5" x14ac:dyDescent="0.25">
      <c r="A24" s="3" t="s">
        <v>46</v>
      </c>
      <c r="C24" s="16">
        <f>C22</f>
        <v>83.333333333333314</v>
      </c>
      <c r="D24" s="16">
        <f>C24+D22</f>
        <v>166.66666666666663</v>
      </c>
      <c r="E24" s="16">
        <f>D24+E22</f>
        <v>249.99999999999994</v>
      </c>
    </row>
    <row r="26" spans="1:5" x14ac:dyDescent="0.25">
      <c r="A26" s="15" t="s">
        <v>195</v>
      </c>
    </row>
    <row r="27" spans="1:5" x14ac:dyDescent="0.25">
      <c r="A27" s="85" t="s">
        <v>203</v>
      </c>
    </row>
    <row r="28" spans="1:5" x14ac:dyDescent="0.25">
      <c r="A28" t="s">
        <v>47</v>
      </c>
    </row>
    <row r="29" spans="1:5" x14ac:dyDescent="0.25">
      <c r="A29" t="s">
        <v>50</v>
      </c>
    </row>
    <row r="30" spans="1:5" x14ac:dyDescent="0.25">
      <c r="A30" t="s">
        <v>223</v>
      </c>
    </row>
    <row r="32" spans="1:5" x14ac:dyDescent="0.25">
      <c r="A32" s="86" t="s">
        <v>166</v>
      </c>
    </row>
    <row r="33" spans="1:5" x14ac:dyDescent="0.25">
      <c r="A33" s="45" t="s">
        <v>48</v>
      </c>
      <c r="C33" s="87" t="s">
        <v>19</v>
      </c>
      <c r="D33" s="87" t="s">
        <v>20</v>
      </c>
      <c r="E33" s="87" t="s">
        <v>21</v>
      </c>
    </row>
    <row r="34" spans="1:5" x14ac:dyDescent="0.25">
      <c r="A34" s="33" t="s">
        <v>49</v>
      </c>
      <c r="C34" s="88">
        <f>'Assumptions (v1)'!C15+'Assumptions (v1)'!C16</f>
        <v>250</v>
      </c>
      <c r="D34" s="88">
        <f>'Assumptions (v1)'!C15+'Assumptions (v1)'!C16</f>
        <v>250</v>
      </c>
      <c r="E34" s="88">
        <f>'Assumptions (v1)'!C15+'Assumptions (v1)'!C16</f>
        <v>250</v>
      </c>
    </row>
    <row r="35" spans="1:5" x14ac:dyDescent="0.25">
      <c r="A35" s="56" t="s">
        <v>192</v>
      </c>
    </row>
    <row r="36" spans="1:5" x14ac:dyDescent="0.25">
      <c r="A36" s="56" t="s">
        <v>193</v>
      </c>
    </row>
    <row r="37" spans="1:5" x14ac:dyDescent="0.25">
      <c r="A37" s="56" t="s">
        <v>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A0A5-C9BE-439C-A980-262BE7C7F9B6}">
  <dimension ref="A1:E22"/>
  <sheetViews>
    <sheetView workbookViewId="0"/>
    <sheetView workbookViewId="1"/>
  </sheetViews>
  <sheetFormatPr defaultRowHeight="15" x14ac:dyDescent="0.25"/>
  <cols>
    <col min="1" max="1" width="53.28515625" customWidth="1"/>
    <col min="2" max="5" width="21" customWidth="1"/>
  </cols>
  <sheetData>
    <row r="1" spans="1:5" ht="18.75" x14ac:dyDescent="0.3">
      <c r="A1" s="1" t="s">
        <v>18</v>
      </c>
    </row>
    <row r="2" spans="1:5" x14ac:dyDescent="0.25">
      <c r="A2" s="2" t="s">
        <v>174</v>
      </c>
    </row>
    <row r="4" spans="1:5" x14ac:dyDescent="0.25">
      <c r="B4" s="42">
        <v>45658</v>
      </c>
      <c r="C4" s="42">
        <v>46022</v>
      </c>
      <c r="D4" s="42">
        <v>46387</v>
      </c>
      <c r="E4" s="42">
        <v>46752</v>
      </c>
    </row>
    <row r="5" spans="1:5" x14ac:dyDescent="0.25">
      <c r="A5" s="3" t="s">
        <v>22</v>
      </c>
    </row>
    <row r="6" spans="1:5" x14ac:dyDescent="0.25">
      <c r="A6" t="s">
        <v>164</v>
      </c>
      <c r="B6" s="12">
        <f>'Assumptions (v1)'!B14</f>
        <v>1000</v>
      </c>
      <c r="C6" s="12">
        <f>B6-'P&amp;L (v1)'!C34</f>
        <v>750</v>
      </c>
      <c r="D6" s="12">
        <f>C6-'P&amp;L (v1)'!D34</f>
        <v>500</v>
      </c>
      <c r="E6" s="12">
        <f>D6-'P&amp;L (v1)'!E34</f>
        <v>250</v>
      </c>
    </row>
    <row r="7" spans="1:5" x14ac:dyDescent="0.25">
      <c r="A7" s="3" t="s">
        <v>24</v>
      </c>
      <c r="B7" s="105">
        <f>B6</f>
        <v>1000</v>
      </c>
      <c r="C7" s="105">
        <f>C6</f>
        <v>750</v>
      </c>
      <c r="D7" s="105">
        <f>D6</f>
        <v>500</v>
      </c>
      <c r="E7" s="105">
        <f>E6</f>
        <v>250</v>
      </c>
    </row>
    <row r="9" spans="1:5" x14ac:dyDescent="0.25">
      <c r="A9" s="3" t="s">
        <v>25</v>
      </c>
    </row>
    <row r="10" spans="1:5" x14ac:dyDescent="0.25">
      <c r="A10" s="3" t="s">
        <v>26</v>
      </c>
    </row>
    <row r="11" spans="1:5" x14ac:dyDescent="0.25">
      <c r="A11" t="s">
        <v>52</v>
      </c>
      <c r="B11" s="12">
        <f>'Assumptions (v1)'!B20</f>
        <v>750</v>
      </c>
      <c r="C11" s="12">
        <f>B11-'P&amp;L (v1)'!C6-'P&amp;L (v1)'!C7</f>
        <v>500</v>
      </c>
      <c r="D11" s="12">
        <f>C11-'P&amp;L (v1)'!D6-'P&amp;L (v1)'!D7</f>
        <v>250</v>
      </c>
      <c r="E11" s="12">
        <f>D11-'P&amp;L (v1)'!E6-'P&amp;L (v1)'!E7</f>
        <v>0</v>
      </c>
    </row>
    <row r="12" spans="1:5" x14ac:dyDescent="0.25">
      <c r="A12" t="s">
        <v>27</v>
      </c>
      <c r="B12" s="12">
        <f>'Assumptions (v1)'!B21</f>
        <v>90</v>
      </c>
      <c r="C12" s="12">
        <f>B12-'P&amp;L (v1)'!C8</f>
        <v>60</v>
      </c>
      <c r="D12" s="12">
        <f>C12-'P&amp;L (v1)'!D8</f>
        <v>30</v>
      </c>
      <c r="E12" s="12">
        <f>D12-'P&amp;L (v1)'!E8</f>
        <v>0</v>
      </c>
    </row>
    <row r="13" spans="1:5" x14ac:dyDescent="0.25">
      <c r="A13" s="3" t="s">
        <v>53</v>
      </c>
      <c r="B13" s="13">
        <f>B11+B12</f>
        <v>840</v>
      </c>
      <c r="C13" s="13">
        <f>C11+C12</f>
        <v>560</v>
      </c>
      <c r="D13" s="13">
        <f>D11+D12</f>
        <v>280</v>
      </c>
      <c r="E13" s="13">
        <f>E11+E12</f>
        <v>0</v>
      </c>
    </row>
    <row r="14" spans="1:5" x14ac:dyDescent="0.25">
      <c r="A14" t="s">
        <v>28</v>
      </c>
      <c r="B14" s="12">
        <f>'Assumptions (v1)'!B22</f>
        <v>160</v>
      </c>
      <c r="C14" s="12">
        <f>B14-'P&amp;L (v1)'!C9</f>
        <v>106.66666666666666</v>
      </c>
      <c r="D14" s="12">
        <f>C14-'P&amp;L (v1)'!D9</f>
        <v>53.333333333333321</v>
      </c>
      <c r="E14" s="12">
        <f>D14-'P&amp;L (v1)'!E9</f>
        <v>0</v>
      </c>
    </row>
    <row r="15" spans="1:5" x14ac:dyDescent="0.25">
      <c r="A15" s="3" t="s">
        <v>29</v>
      </c>
      <c r="B15" s="13">
        <f>B11+B12+B14</f>
        <v>1000</v>
      </c>
      <c r="C15" s="13">
        <f>C11+C12+C14</f>
        <v>666.66666666666663</v>
      </c>
      <c r="D15" s="13">
        <f>D11+D12+D14</f>
        <v>333.33333333333331</v>
      </c>
      <c r="E15" s="13">
        <f>E11+E12+E14</f>
        <v>0</v>
      </c>
    </row>
    <row r="16" spans="1:5" x14ac:dyDescent="0.25">
      <c r="A16" s="3" t="s">
        <v>30</v>
      </c>
      <c r="B16" s="104">
        <f>B15</f>
        <v>1000</v>
      </c>
      <c r="C16" s="104">
        <f>C15</f>
        <v>666.66666666666663</v>
      </c>
      <c r="D16" s="104">
        <f>D15</f>
        <v>333.33333333333331</v>
      </c>
      <c r="E16" s="104">
        <f>E15</f>
        <v>0</v>
      </c>
    </row>
    <row r="18" spans="1:5" x14ac:dyDescent="0.25">
      <c r="A18" s="3" t="s">
        <v>31</v>
      </c>
      <c r="B18" s="12"/>
    </row>
    <row r="19" spans="1:5" x14ac:dyDescent="0.25">
      <c r="A19" t="s">
        <v>32</v>
      </c>
      <c r="B19" s="12">
        <v>0</v>
      </c>
      <c r="C19" s="12">
        <f>B19+'P&amp;L (v1)'!C22</f>
        <v>83.333333333333314</v>
      </c>
      <c r="D19" s="12">
        <f>C19+'P&amp;L (v1)'!D22</f>
        <v>166.66666666666663</v>
      </c>
      <c r="E19" s="12">
        <f>D19+'P&amp;L (v1)'!E22</f>
        <v>249.99999999999994</v>
      </c>
    </row>
    <row r="20" spans="1:5" ht="15.75" thickBot="1" x14ac:dyDescent="0.3">
      <c r="A20" s="3" t="s">
        <v>33</v>
      </c>
      <c r="B20" s="20">
        <f>B19</f>
        <v>0</v>
      </c>
      <c r="C20" s="20">
        <f>C19</f>
        <v>83.333333333333314</v>
      </c>
      <c r="D20" s="20">
        <f>D19</f>
        <v>166.66666666666663</v>
      </c>
      <c r="E20" s="20">
        <f>E19</f>
        <v>249.99999999999994</v>
      </c>
    </row>
    <row r="21" spans="1:5" ht="15.75" thickTop="1" x14ac:dyDescent="0.25"/>
    <row r="22" spans="1:5" x14ac:dyDescent="0.25">
      <c r="A22" s="15" t="s">
        <v>34</v>
      </c>
      <c r="B22" s="3" t="str">
        <f>IF(ABS(B7-B16-B20)&lt;0.01,"✅ Balanced","❌ Error")</f>
        <v>✅ Balanced</v>
      </c>
      <c r="C22" s="3" t="str">
        <f>IF(ABS(C7-C16-C20)&lt;0.01,"✅ Balanced","❌ Error")</f>
        <v>✅ Balanced</v>
      </c>
      <c r="D22" s="3" t="str">
        <f>IF(ABS(D7-D16-D20)&lt;0.01,"✅ Balanced","❌ Error")</f>
        <v>✅ Balanced</v>
      </c>
      <c r="E22" s="3" t="str">
        <f>IF(ABS(E7-E16-E20)&lt;0.01,"✅ Balanced","❌ Error")</f>
        <v>✅ Balanced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2A691-3431-42BC-9C56-6E42ABD5D3C8}">
  <sheetPr>
    <tabColor theme="3" tint="0.749992370372631"/>
  </sheetPr>
  <dimension ref="A1"/>
  <sheetViews>
    <sheetView workbookViewId="0"/>
    <sheetView workbookViewId="1"/>
  </sheetViews>
  <sheetFormatPr defaultRowHeight="15" x14ac:dyDescent="0.25"/>
  <sheetData>
    <row r="1" spans="1:1" ht="15.75" x14ac:dyDescent="0.25">
      <c r="A1"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9434-755F-4F01-8DB5-31BC73456D21}">
  <dimension ref="A1:G60"/>
  <sheetViews>
    <sheetView workbookViewId="0">
      <selection activeCell="E29" sqref="E29"/>
    </sheetView>
    <sheetView workbookViewId="1"/>
  </sheetViews>
  <sheetFormatPr defaultRowHeight="15" x14ac:dyDescent="0.25"/>
  <cols>
    <col min="1" max="1" width="53.28515625" customWidth="1"/>
    <col min="2" max="2" width="2.85546875" customWidth="1"/>
    <col min="3" max="8" width="18.140625" customWidth="1"/>
  </cols>
  <sheetData>
    <row r="1" spans="1:6" ht="18.75" x14ac:dyDescent="0.3">
      <c r="A1" s="1" t="s">
        <v>177</v>
      </c>
    </row>
    <row r="2" spans="1:6" x14ac:dyDescent="0.25">
      <c r="A2" s="44" t="s">
        <v>103</v>
      </c>
    </row>
    <row r="3" spans="1:6" x14ac:dyDescent="0.25">
      <c r="A3" s="32" t="s">
        <v>104</v>
      </c>
    </row>
    <row r="4" spans="1:6" x14ac:dyDescent="0.25">
      <c r="A4" s="32" t="s">
        <v>107</v>
      </c>
    </row>
    <row r="5" spans="1:6" x14ac:dyDescent="0.25">
      <c r="A5" s="32" t="s">
        <v>108</v>
      </c>
    </row>
    <row r="7" spans="1:6" x14ac:dyDescent="0.25">
      <c r="A7" s="4" t="s">
        <v>55</v>
      </c>
      <c r="B7" s="5"/>
      <c r="C7" s="5"/>
    </row>
    <row r="8" spans="1:6" x14ac:dyDescent="0.25">
      <c r="A8" t="s">
        <v>1</v>
      </c>
      <c r="C8" s="6">
        <v>3</v>
      </c>
    </row>
    <row r="9" spans="1:6" x14ac:dyDescent="0.25">
      <c r="A9" t="s">
        <v>6</v>
      </c>
      <c r="C9" s="11">
        <v>1000</v>
      </c>
    </row>
    <row r="11" spans="1:6" x14ac:dyDescent="0.25">
      <c r="A11" s="4" t="s">
        <v>56</v>
      </c>
      <c r="B11" s="5"/>
      <c r="C11" s="10" t="s">
        <v>4</v>
      </c>
      <c r="D11" s="42">
        <v>46022</v>
      </c>
      <c r="E11" s="42">
        <v>46387</v>
      </c>
      <c r="F11" s="42">
        <v>46752</v>
      </c>
    </row>
    <row r="12" spans="1:6" x14ac:dyDescent="0.25">
      <c r="A12" t="s">
        <v>7</v>
      </c>
      <c r="C12" s="11">
        <v>600</v>
      </c>
      <c r="D12" s="12">
        <f>C12/C8</f>
        <v>200</v>
      </c>
      <c r="E12" s="12">
        <f>C12/C8</f>
        <v>200</v>
      </c>
      <c r="F12" s="12">
        <f>C12/C8</f>
        <v>200</v>
      </c>
    </row>
    <row r="13" spans="1:6" x14ac:dyDescent="0.25">
      <c r="A13" t="s">
        <v>8</v>
      </c>
      <c r="C13" s="11">
        <v>150</v>
      </c>
      <c r="D13" s="12">
        <f>C13/C8</f>
        <v>50</v>
      </c>
      <c r="E13" s="12">
        <f>C13/C8</f>
        <v>50</v>
      </c>
      <c r="F13" s="12">
        <f>C13/C8</f>
        <v>50</v>
      </c>
    </row>
    <row r="14" spans="1:6" x14ac:dyDescent="0.25">
      <c r="A14" t="s">
        <v>57</v>
      </c>
      <c r="C14" s="13">
        <f>C12+C13</f>
        <v>750</v>
      </c>
      <c r="D14" s="13">
        <f>D12+D13</f>
        <v>250</v>
      </c>
      <c r="E14" s="13">
        <f>E12+E13</f>
        <v>250</v>
      </c>
      <c r="F14" s="13">
        <f>F12+F13</f>
        <v>250</v>
      </c>
    </row>
    <row r="15" spans="1:6" x14ac:dyDescent="0.25">
      <c r="A15" t="s">
        <v>58</v>
      </c>
      <c r="C15" s="11">
        <v>90</v>
      </c>
    </row>
    <row r="17" spans="1:7" x14ac:dyDescent="0.25">
      <c r="A17" s="4" t="s">
        <v>59</v>
      </c>
      <c r="B17" s="5"/>
      <c r="C17" s="5"/>
      <c r="D17" s="10" t="s">
        <v>60</v>
      </c>
      <c r="E17" s="10" t="s">
        <v>61</v>
      </c>
      <c r="F17" s="10" t="s">
        <v>62</v>
      </c>
    </row>
    <row r="18" spans="1:7" x14ac:dyDescent="0.25">
      <c r="A18" t="s">
        <v>63</v>
      </c>
      <c r="C18" s="23" t="s">
        <v>66</v>
      </c>
      <c r="D18" s="22">
        <v>0.03</v>
      </c>
      <c r="E18" s="22">
        <v>3.5000000000000003E-2</v>
      </c>
      <c r="F18" s="22">
        <v>0.04</v>
      </c>
    </row>
    <row r="19" spans="1:7" x14ac:dyDescent="0.25">
      <c r="A19" t="s">
        <v>64</v>
      </c>
      <c r="D19" s="22">
        <v>3.2500000000000001E-2</v>
      </c>
      <c r="E19" s="22">
        <v>3.7499999999999999E-2</v>
      </c>
      <c r="F19" s="22"/>
    </row>
    <row r="20" spans="1:7" x14ac:dyDescent="0.25">
      <c r="A20" t="s">
        <v>65</v>
      </c>
      <c r="D20" s="22">
        <v>3.5000000000000003E-2</v>
      </c>
      <c r="E20" s="22"/>
      <c r="F20" s="22"/>
    </row>
    <row r="22" spans="1:7" x14ac:dyDescent="0.25">
      <c r="A22" s="4" t="s">
        <v>67</v>
      </c>
      <c r="B22" s="5"/>
      <c r="C22" s="5"/>
      <c r="D22" s="10" t="s">
        <v>68</v>
      </c>
      <c r="E22" s="10" t="s">
        <v>69</v>
      </c>
      <c r="F22" s="10" t="s">
        <v>70</v>
      </c>
    </row>
    <row r="23" spans="1:7" x14ac:dyDescent="0.25">
      <c r="A23" t="s">
        <v>71</v>
      </c>
      <c r="D23" s="24">
        <f>1/(1+D18)^1</f>
        <v>0.970873786407767</v>
      </c>
      <c r="E23" s="24">
        <f>1/(1+E18)^2</f>
        <v>0.93351070036640305</v>
      </c>
      <c r="F23" s="24">
        <f>1/(1+F18)^3</f>
        <v>0.88899635867091487</v>
      </c>
    </row>
    <row r="24" spans="1:7" x14ac:dyDescent="0.25">
      <c r="A24" t="s">
        <v>72</v>
      </c>
      <c r="D24" s="24">
        <f>1/(1+D19)^1</f>
        <v>0.96852300242130751</v>
      </c>
      <c r="E24" s="24">
        <f>1/(1+E19)^2</f>
        <v>0.9290172739149366</v>
      </c>
    </row>
    <row r="25" spans="1:7" x14ac:dyDescent="0.25">
      <c r="A25" t="s">
        <v>73</v>
      </c>
      <c r="D25" s="24">
        <f>1/(1+D20)^1</f>
        <v>0.96618357487922713</v>
      </c>
    </row>
    <row r="27" spans="1:7" x14ac:dyDescent="0.25">
      <c r="A27" s="4" t="s">
        <v>74</v>
      </c>
      <c r="B27" s="5"/>
      <c r="C27" s="5"/>
      <c r="D27" s="25" t="s">
        <v>75</v>
      </c>
      <c r="E27" s="25" t="s">
        <v>76</v>
      </c>
      <c r="F27" s="25" t="s">
        <v>77</v>
      </c>
      <c r="G27" s="25" t="s">
        <v>78</v>
      </c>
    </row>
    <row r="28" spans="1:7" x14ac:dyDescent="0.25">
      <c r="A28" t="s">
        <v>79</v>
      </c>
      <c r="D28" s="26">
        <f>D14*D23</f>
        <v>242.71844660194176</v>
      </c>
      <c r="E28" s="26">
        <f>E14*E23</f>
        <v>233.37767509160076</v>
      </c>
      <c r="F28" s="26">
        <f>F14*F23</f>
        <v>222.24908966772873</v>
      </c>
      <c r="G28" s="27">
        <f>SUM(D28:F28)</f>
        <v>698.34521136127125</v>
      </c>
    </row>
    <row r="29" spans="1:7" x14ac:dyDescent="0.25">
      <c r="A29" t="s">
        <v>178</v>
      </c>
      <c r="D29" s="8"/>
      <c r="E29" s="26">
        <f>E14*D24</f>
        <v>242.13075060532688</v>
      </c>
      <c r="F29" s="26">
        <f>F14*E24</f>
        <v>232.25431847873415</v>
      </c>
      <c r="G29" s="27">
        <f>SUM(E29:F29)</f>
        <v>474.385069084061</v>
      </c>
    </row>
    <row r="30" spans="1:7" x14ac:dyDescent="0.25">
      <c r="A30" t="s">
        <v>179</v>
      </c>
      <c r="D30" s="8"/>
      <c r="E30" s="8"/>
      <c r="F30" s="26">
        <f>F14*D25</f>
        <v>241.54589371980677</v>
      </c>
      <c r="G30" s="27">
        <f>F30</f>
        <v>241.54589371980677</v>
      </c>
    </row>
    <row r="31" spans="1:7" x14ac:dyDescent="0.25">
      <c r="A31" t="s">
        <v>212</v>
      </c>
      <c r="G31" s="27">
        <v>0</v>
      </c>
    </row>
    <row r="33" spans="1:7" x14ac:dyDescent="0.25">
      <c r="A33" t="s">
        <v>180</v>
      </c>
      <c r="E33" s="26">
        <f>E14*D23</f>
        <v>242.71844660194176</v>
      </c>
      <c r="F33" s="26">
        <f>F14*E23</f>
        <v>233.37767509160076</v>
      </c>
      <c r="G33" s="27">
        <f>SUM(E33:F33)</f>
        <v>476.0961216935425</v>
      </c>
    </row>
    <row r="34" spans="1:7" x14ac:dyDescent="0.25">
      <c r="A34" t="s">
        <v>181</v>
      </c>
      <c r="F34" s="26">
        <f>F14*D23</f>
        <v>242.71844660194176</v>
      </c>
      <c r="G34" s="27">
        <f>F34</f>
        <v>242.71844660194176</v>
      </c>
    </row>
    <row r="36" spans="1:7" x14ac:dyDescent="0.25">
      <c r="A36" s="4" t="s">
        <v>80</v>
      </c>
      <c r="B36" s="5"/>
      <c r="C36" s="5"/>
      <c r="D36" s="42">
        <v>46022</v>
      </c>
      <c r="E36" s="42">
        <v>46387</v>
      </c>
      <c r="F36" s="42">
        <v>46752</v>
      </c>
    </row>
    <row r="37" spans="1:7" x14ac:dyDescent="0.25">
      <c r="A37" t="s">
        <v>81</v>
      </c>
      <c r="D37" s="26">
        <f>G28</f>
        <v>698.34521136127125</v>
      </c>
      <c r="E37" s="26">
        <f>G29</f>
        <v>474.385069084061</v>
      </c>
      <c r="F37" s="26">
        <f>G30</f>
        <v>241.54589371980677</v>
      </c>
    </row>
    <row r="38" spans="1:7" x14ac:dyDescent="0.25">
      <c r="A38" t="s">
        <v>82</v>
      </c>
      <c r="D38" s="26">
        <f>-D14</f>
        <v>-250</v>
      </c>
      <c r="E38" s="26">
        <f>-E14</f>
        <v>-250</v>
      </c>
      <c r="F38" s="26">
        <f>-F14</f>
        <v>-250</v>
      </c>
    </row>
    <row r="39" spans="1:7" x14ac:dyDescent="0.25">
      <c r="A39" t="s">
        <v>83</v>
      </c>
      <c r="D39" s="26">
        <f>G33-(G28-D14)</f>
        <v>27.750910332271246</v>
      </c>
      <c r="E39" s="26">
        <f>G34-(G29-E14)</f>
        <v>18.333377517880763</v>
      </c>
      <c r="F39" s="26">
        <f>G31-(G30-F14)</f>
        <v>8.4541062801932298</v>
      </c>
    </row>
    <row r="40" spans="1:7" x14ac:dyDescent="0.25">
      <c r="A40" t="s">
        <v>84</v>
      </c>
      <c r="D40" s="26">
        <f>G29-G33</f>
        <v>-1.7110526094814986</v>
      </c>
      <c r="E40" s="26">
        <f>G30-G34</f>
        <v>-1.172552882134994</v>
      </c>
      <c r="F40" s="26">
        <v>0</v>
      </c>
    </row>
    <row r="41" spans="1:7" x14ac:dyDescent="0.25">
      <c r="A41" t="s">
        <v>85</v>
      </c>
      <c r="D41" s="27">
        <f>SUM(D37:D40)</f>
        <v>474.385069084061</v>
      </c>
      <c r="E41" s="27">
        <f>SUM(E37:E40)</f>
        <v>241.54589371980677</v>
      </c>
      <c r="F41" s="27">
        <f>SUM(F37:F40)</f>
        <v>0</v>
      </c>
    </row>
    <row r="42" spans="1:7" x14ac:dyDescent="0.25">
      <c r="A42" s="19" t="s">
        <v>86</v>
      </c>
      <c r="D42" t="str">
        <f>IF(ABS(D41-G29)&lt;0.01,"✅","❌")</f>
        <v>✅</v>
      </c>
      <c r="E42" t="str">
        <f>IF(ABS(E41-G30)&lt;0.01,"✅","❌")</f>
        <v>✅</v>
      </c>
      <c r="F42" t="str">
        <f>IF(ABS(F41-G31)&lt;0.01,"✅","❌")</f>
        <v>✅</v>
      </c>
    </row>
    <row r="44" spans="1:7" x14ac:dyDescent="0.25">
      <c r="A44" s="4" t="s">
        <v>87</v>
      </c>
      <c r="B44" s="5"/>
      <c r="C44" s="5"/>
      <c r="D44" s="5"/>
      <c r="E44" s="5"/>
      <c r="F44" s="5"/>
    </row>
    <row r="45" spans="1:7" x14ac:dyDescent="0.25">
      <c r="A45" t="s">
        <v>88</v>
      </c>
      <c r="C45" s="26">
        <f>C15</f>
        <v>90</v>
      </c>
    </row>
    <row r="46" spans="1:7" x14ac:dyDescent="0.25">
      <c r="A46" t="s">
        <v>89</v>
      </c>
      <c r="C46" s="26">
        <f>C45/C8</f>
        <v>30</v>
      </c>
    </row>
    <row r="48" spans="1:7" x14ac:dyDescent="0.25">
      <c r="A48" s="4" t="s">
        <v>90</v>
      </c>
      <c r="B48" s="5"/>
      <c r="C48" s="5"/>
      <c r="D48" s="5"/>
    </row>
    <row r="49" spans="1:6" x14ac:dyDescent="0.25">
      <c r="A49" t="s">
        <v>91</v>
      </c>
      <c r="C49" s="26">
        <f>G28</f>
        <v>698.34521136127125</v>
      </c>
    </row>
    <row r="50" spans="1:6" x14ac:dyDescent="0.25">
      <c r="A50" t="s">
        <v>11</v>
      </c>
      <c r="C50" s="26">
        <f>C45</f>
        <v>90</v>
      </c>
    </row>
    <row r="51" spans="1:6" x14ac:dyDescent="0.25">
      <c r="A51" t="s">
        <v>53</v>
      </c>
      <c r="C51" s="27">
        <f>C49+C50</f>
        <v>788.34521136127125</v>
      </c>
    </row>
    <row r="52" spans="1:6" x14ac:dyDescent="0.25">
      <c r="A52" t="s">
        <v>12</v>
      </c>
      <c r="C52" s="27">
        <f>C9-C51</f>
        <v>211.65478863872875</v>
      </c>
    </row>
    <row r="53" spans="1:6" x14ac:dyDescent="0.25">
      <c r="A53" t="s">
        <v>13</v>
      </c>
      <c r="C53" s="27">
        <f>C51+C52</f>
        <v>1000</v>
      </c>
    </row>
    <row r="55" spans="1:6" x14ac:dyDescent="0.25">
      <c r="A55" s="4" t="s">
        <v>92</v>
      </c>
      <c r="B55" s="5"/>
      <c r="C55" s="5"/>
      <c r="D55" s="42">
        <v>46022</v>
      </c>
      <c r="E55" s="42">
        <v>46387</v>
      </c>
      <c r="F55" s="42">
        <v>46752</v>
      </c>
    </row>
    <row r="56" spans="1:6" x14ac:dyDescent="0.25">
      <c r="A56" t="s">
        <v>93</v>
      </c>
      <c r="D56" s="26">
        <f>C52</f>
        <v>211.65478863872875</v>
      </c>
      <c r="E56" s="26">
        <f>D60</f>
        <v>145.33628819859376</v>
      </c>
      <c r="F56" s="26">
        <f>E60</f>
        <v>74.848188422275783</v>
      </c>
    </row>
    <row r="57" spans="1:6" x14ac:dyDescent="0.25">
      <c r="A57" t="s">
        <v>94</v>
      </c>
      <c r="D57" s="26">
        <f>D56*D18</f>
        <v>6.3496436591618624</v>
      </c>
      <c r="E57" s="26">
        <f>E56*D18</f>
        <v>4.3600886459578128</v>
      </c>
      <c r="F57" s="26">
        <f>F56*D18</f>
        <v>2.2454456526682733</v>
      </c>
    </row>
    <row r="58" spans="1:6" x14ac:dyDescent="0.25">
      <c r="A58" s="9" t="s">
        <v>101</v>
      </c>
      <c r="D58" s="30">
        <v>0</v>
      </c>
      <c r="E58" s="30">
        <v>0</v>
      </c>
      <c r="F58" s="30">
        <v>0</v>
      </c>
    </row>
    <row r="59" spans="1:6" x14ac:dyDescent="0.25">
      <c r="A59" t="s">
        <v>95</v>
      </c>
      <c r="D59" s="26">
        <f>-(D56+D57+D58)/C8</f>
        <v>-72.668144099296867</v>
      </c>
      <c r="E59" s="26">
        <f>-(E56+E57+E58)/2</f>
        <v>-74.848188422275783</v>
      </c>
      <c r="F59" s="26">
        <f>-(F56+F57+F58)/1</f>
        <v>-77.093634074944049</v>
      </c>
    </row>
    <row r="60" spans="1:6" x14ac:dyDescent="0.25">
      <c r="A60" t="s">
        <v>96</v>
      </c>
      <c r="D60" s="27">
        <f>SUM(D56:D59)</f>
        <v>145.33628819859376</v>
      </c>
      <c r="E60" s="27">
        <f>SUM(E56:E59)</f>
        <v>74.848188422275783</v>
      </c>
      <c r="F60" s="27">
        <f>SUM(F56:F59)</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04FCC-27D1-47A6-BCE6-605141C406A0}">
  <dimension ref="A1:E44"/>
  <sheetViews>
    <sheetView workbookViewId="0">
      <selection activeCell="C46" sqref="C46"/>
    </sheetView>
    <sheetView workbookViewId="1">
      <selection activeCell="C22" sqref="C22"/>
    </sheetView>
  </sheetViews>
  <sheetFormatPr defaultRowHeight="15" x14ac:dyDescent="0.25"/>
  <cols>
    <col min="1" max="1" width="57.140625" customWidth="1"/>
    <col min="2" max="2" width="2.85546875" customWidth="1"/>
    <col min="3" max="5" width="21.85546875" customWidth="1"/>
  </cols>
  <sheetData>
    <row r="1" spans="1:5" ht="18.75" x14ac:dyDescent="0.3">
      <c r="A1" s="1" t="s">
        <v>35</v>
      </c>
    </row>
    <row r="2" spans="1:5" x14ac:dyDescent="0.25">
      <c r="A2" s="2" t="s">
        <v>202</v>
      </c>
    </row>
    <row r="4" spans="1:5" x14ac:dyDescent="0.25">
      <c r="C4" s="42">
        <v>46022</v>
      </c>
      <c r="D4" s="42">
        <v>46387</v>
      </c>
      <c r="E4" s="42">
        <v>46752</v>
      </c>
    </row>
    <row r="5" spans="1:5" x14ac:dyDescent="0.25">
      <c r="A5" s="3" t="s">
        <v>36</v>
      </c>
    </row>
    <row r="6" spans="1:5" x14ac:dyDescent="0.25">
      <c r="A6" t="s">
        <v>175</v>
      </c>
      <c r="C6" s="26">
        <f>'Assumptions (v2)'!D12</f>
        <v>200</v>
      </c>
      <c r="D6" s="26">
        <f>'Assumptions (v2)'!E12</f>
        <v>200</v>
      </c>
      <c r="E6" s="26">
        <f>'Assumptions (v2)'!F12</f>
        <v>200</v>
      </c>
    </row>
    <row r="7" spans="1:5" x14ac:dyDescent="0.25">
      <c r="A7" t="s">
        <v>176</v>
      </c>
      <c r="C7" s="26">
        <f>'Assumptions (v2)'!D13</f>
        <v>50</v>
      </c>
      <c r="D7" s="26">
        <f>'Assumptions (v2)'!E13</f>
        <v>50</v>
      </c>
      <c r="E7" s="26">
        <f>'Assumptions (v2)'!F13</f>
        <v>50</v>
      </c>
    </row>
    <row r="8" spans="1:5" x14ac:dyDescent="0.25">
      <c r="A8" t="s">
        <v>37</v>
      </c>
      <c r="C8" s="26">
        <f>'Assumptions (v2)'!C46</f>
        <v>30</v>
      </c>
      <c r="D8" s="26">
        <f>'Assumptions (v2)'!C46</f>
        <v>30</v>
      </c>
      <c r="E8" s="26">
        <f>'Assumptions (v2)'!C46</f>
        <v>30</v>
      </c>
    </row>
    <row r="9" spans="1:5" x14ac:dyDescent="0.25">
      <c r="A9" t="s">
        <v>38</v>
      </c>
      <c r="C9" s="26">
        <f>-'Assumptions (v2)'!D59</f>
        <v>72.668144099296867</v>
      </c>
      <c r="D9" s="26">
        <f>-'Assumptions (v2)'!E59</f>
        <v>74.848188422275783</v>
      </c>
      <c r="E9" s="26">
        <f>-'Assumptions (v2)'!F59</f>
        <v>77.093634074944049</v>
      </c>
    </row>
    <row r="11" spans="1:5" x14ac:dyDescent="0.25">
      <c r="A11" s="3" t="s">
        <v>39</v>
      </c>
      <c r="C11" s="27">
        <f>SUM(C6:C9)</f>
        <v>352.66814409929685</v>
      </c>
      <c r="D11" s="27">
        <f>SUM(D6:D9)</f>
        <v>354.84818842227577</v>
      </c>
      <c r="E11" s="27">
        <f>SUM(E6:E9)</f>
        <v>357.09363407494402</v>
      </c>
    </row>
    <row r="13" spans="1:5" x14ac:dyDescent="0.25">
      <c r="A13" s="3" t="s">
        <v>40</v>
      </c>
    </row>
    <row r="14" spans="1:5" x14ac:dyDescent="0.25">
      <c r="A14" t="s">
        <v>41</v>
      </c>
      <c r="C14" s="26">
        <f>'Assumptions (v2)'!D12</f>
        <v>200</v>
      </c>
      <c r="D14" s="26">
        <f>'Assumptions (v2)'!E12</f>
        <v>200</v>
      </c>
      <c r="E14" s="26">
        <f>'Assumptions (v2)'!F12</f>
        <v>200</v>
      </c>
    </row>
    <row r="15" spans="1:5" x14ac:dyDescent="0.25">
      <c r="A15" t="s">
        <v>42</v>
      </c>
      <c r="C15" s="26">
        <f>'Assumptions (v2)'!D13</f>
        <v>50</v>
      </c>
      <c r="D15" s="26">
        <f>'Assumptions (v2)'!E13</f>
        <v>50</v>
      </c>
      <c r="E15" s="26">
        <f>'Assumptions (v2)'!F13</f>
        <v>50</v>
      </c>
    </row>
    <row r="17" spans="1:5" x14ac:dyDescent="0.25">
      <c r="A17" s="3" t="s">
        <v>43</v>
      </c>
      <c r="C17" s="27">
        <f>-(C14+C15)</f>
        <v>-250</v>
      </c>
      <c r="D17" s="27">
        <f>-(D14+D15)</f>
        <v>-250</v>
      </c>
      <c r="E17" s="27">
        <f>-(E14+E15)</f>
        <v>-250</v>
      </c>
    </row>
    <row r="19" spans="1:5" x14ac:dyDescent="0.25">
      <c r="A19" s="17" t="s">
        <v>44</v>
      </c>
      <c r="B19" s="18"/>
      <c r="C19" s="28">
        <f>C11+C17</f>
        <v>102.66814409929685</v>
      </c>
      <c r="D19" s="28">
        <f>D11+D17</f>
        <v>104.84818842227577</v>
      </c>
      <c r="E19" s="28">
        <f>E11+E17</f>
        <v>107.09363407494402</v>
      </c>
    </row>
    <row r="21" spans="1:5" x14ac:dyDescent="0.25">
      <c r="A21" s="3" t="s">
        <v>97</v>
      </c>
    </row>
    <row r="22" spans="1:5" x14ac:dyDescent="0.25">
      <c r="A22" t="s">
        <v>98</v>
      </c>
      <c r="C22" s="26">
        <f>-'Assumptions (v2)'!D39</f>
        <v>-27.750910332271246</v>
      </c>
      <c r="D22" s="26">
        <f>-'Assumptions (v2)'!E39</f>
        <v>-18.333377517880763</v>
      </c>
      <c r="E22" s="26">
        <f>-'Assumptions (v2)'!F39</f>
        <v>-8.4541062801932298</v>
      </c>
    </row>
    <row r="23" spans="1:5" x14ac:dyDescent="0.25">
      <c r="A23" t="s">
        <v>84</v>
      </c>
      <c r="C23" s="26">
        <f>-'Assumptions (v2)'!D40</f>
        <v>1.7110526094814986</v>
      </c>
      <c r="D23" s="26">
        <f>-'Assumptions (v2)'!E40</f>
        <v>1.172552882134994</v>
      </c>
      <c r="E23" s="26">
        <f>-'Assumptions (v2)'!F40</f>
        <v>0</v>
      </c>
    </row>
    <row r="24" spans="1:5" x14ac:dyDescent="0.25">
      <c r="A24" s="33" t="s">
        <v>102</v>
      </c>
      <c r="C24" s="41">
        <f>-'Assumptions (v2)'!D57</f>
        <v>-6.3496436591618624</v>
      </c>
      <c r="D24" s="41">
        <f>-'Assumptions (v2)'!E57</f>
        <v>-4.3600886459578128</v>
      </c>
      <c r="E24" s="41">
        <f>-'Assumptions (v2)'!F57</f>
        <v>-2.2454456526682733</v>
      </c>
    </row>
    <row r="25" spans="1:5" x14ac:dyDescent="0.25">
      <c r="A25" s="3" t="s">
        <v>99</v>
      </c>
      <c r="C25" s="27">
        <f>SUM(C22:C24)</f>
        <v>-32.389501381951611</v>
      </c>
      <c r="D25" s="27">
        <f>SUM(D22:D24)</f>
        <v>-21.520913281703582</v>
      </c>
      <c r="E25" s="27">
        <f>SUM(E22:E24)</f>
        <v>-10.699551932861503</v>
      </c>
    </row>
    <row r="27" spans="1:5" ht="15.75" thickBot="1" x14ac:dyDescent="0.3">
      <c r="A27" s="92" t="s">
        <v>100</v>
      </c>
      <c r="B27" s="93"/>
      <c r="C27" s="91">
        <f>C19+C25</f>
        <v>70.278642717345235</v>
      </c>
      <c r="D27" s="91">
        <f>D19+D25</f>
        <v>83.327275140572183</v>
      </c>
      <c r="E27" s="91">
        <f>E19+E25</f>
        <v>96.39408214208251</v>
      </c>
    </row>
    <row r="28" spans="1:5" ht="15.75" thickTop="1" x14ac:dyDescent="0.25"/>
    <row r="29" spans="1:5" x14ac:dyDescent="0.25">
      <c r="A29" s="3" t="s">
        <v>46</v>
      </c>
      <c r="C29" s="27">
        <f>C27</f>
        <v>70.278642717345235</v>
      </c>
      <c r="D29" s="27">
        <f>C29+D27</f>
        <v>153.6059178579174</v>
      </c>
      <c r="E29" s="27">
        <f>D29+E27</f>
        <v>249.99999999999991</v>
      </c>
    </row>
    <row r="31" spans="1:5" x14ac:dyDescent="0.25">
      <c r="A31" s="3" t="s">
        <v>195</v>
      </c>
    </row>
    <row r="32" spans="1:5" x14ac:dyDescent="0.25">
      <c r="A32" t="s">
        <v>196</v>
      </c>
    </row>
    <row r="33" spans="1:5" x14ac:dyDescent="0.25">
      <c r="A33" t="s">
        <v>197</v>
      </c>
    </row>
    <row r="34" spans="1:5" x14ac:dyDescent="0.25">
      <c r="A34" t="s">
        <v>198</v>
      </c>
    </row>
    <row r="35" spans="1:5" x14ac:dyDescent="0.25">
      <c r="A35" t="s">
        <v>199</v>
      </c>
    </row>
    <row r="36" spans="1:5" x14ac:dyDescent="0.25">
      <c r="A36" t="s">
        <v>200</v>
      </c>
    </row>
    <row r="37" spans="1:5" x14ac:dyDescent="0.25">
      <c r="A37" t="s">
        <v>201</v>
      </c>
    </row>
    <row r="39" spans="1:5" x14ac:dyDescent="0.25">
      <c r="A39" s="86" t="s">
        <v>166</v>
      </c>
    </row>
    <row r="40" spans="1:5" x14ac:dyDescent="0.25">
      <c r="A40" s="45" t="s">
        <v>48</v>
      </c>
    </row>
    <row r="41" spans="1:5" x14ac:dyDescent="0.25">
      <c r="A41" s="89" t="s">
        <v>49</v>
      </c>
      <c r="C41" s="61">
        <f>'Assumptions (v2)'!D14</f>
        <v>250</v>
      </c>
      <c r="D41" s="61">
        <f>'Assumptions (v2)'!E14</f>
        <v>250</v>
      </c>
      <c r="E41" s="61">
        <f>'Assumptions (v2)'!F14</f>
        <v>250</v>
      </c>
    </row>
    <row r="42" spans="1:5" x14ac:dyDescent="0.25">
      <c r="A42" s="56" t="s">
        <v>192</v>
      </c>
    </row>
    <row r="43" spans="1:5" x14ac:dyDescent="0.25">
      <c r="A43" s="56" t="s">
        <v>193</v>
      </c>
    </row>
    <row r="44" spans="1:5" x14ac:dyDescent="0.25">
      <c r="A44" s="56" t="s">
        <v>194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8E6C-581F-431B-AD5E-686214BD6995}">
  <dimension ref="A1:E22"/>
  <sheetViews>
    <sheetView workbookViewId="0">
      <selection activeCell="B32" sqref="B32"/>
    </sheetView>
    <sheetView workbookViewId="1">
      <selection activeCell="B30" sqref="B30"/>
    </sheetView>
  </sheetViews>
  <sheetFormatPr defaultRowHeight="15" x14ac:dyDescent="0.25"/>
  <cols>
    <col min="1" max="1" width="57.140625" customWidth="1"/>
    <col min="2" max="5" width="21.85546875" customWidth="1"/>
  </cols>
  <sheetData>
    <row r="1" spans="1:5" ht="18.75" x14ac:dyDescent="0.3">
      <c r="A1" s="1" t="s">
        <v>18</v>
      </c>
    </row>
    <row r="2" spans="1:5" x14ac:dyDescent="0.25">
      <c r="A2" s="2" t="s">
        <v>202</v>
      </c>
    </row>
    <row r="4" spans="1:5" x14ac:dyDescent="0.25">
      <c r="B4" s="42">
        <v>45658</v>
      </c>
      <c r="C4" s="42">
        <v>46022</v>
      </c>
      <c r="D4" s="42">
        <v>46387</v>
      </c>
      <c r="E4" s="42">
        <v>46752</v>
      </c>
    </row>
    <row r="5" spans="1:5" x14ac:dyDescent="0.25">
      <c r="A5" s="3" t="s">
        <v>22</v>
      </c>
    </row>
    <row r="6" spans="1:5" x14ac:dyDescent="0.25">
      <c r="A6" t="s">
        <v>23</v>
      </c>
      <c r="B6" s="26">
        <f>'Assumptions (v2)'!C9</f>
        <v>1000</v>
      </c>
      <c r="C6" s="26">
        <f>B6-'P&amp;L (v2)'!C41</f>
        <v>750</v>
      </c>
      <c r="D6" s="26">
        <f>C6-'P&amp;L (v2)'!D41</f>
        <v>500</v>
      </c>
      <c r="E6" s="26">
        <f>D6-'P&amp;L (v2)'!E41</f>
        <v>250</v>
      </c>
    </row>
    <row r="7" spans="1:5" x14ac:dyDescent="0.25">
      <c r="A7" s="3" t="s">
        <v>24</v>
      </c>
      <c r="B7" s="27">
        <f>B6</f>
        <v>1000</v>
      </c>
      <c r="C7" s="27">
        <f>C6</f>
        <v>750</v>
      </c>
      <c r="D7" s="27">
        <f>D6</f>
        <v>500</v>
      </c>
      <c r="E7" s="27">
        <f>E6</f>
        <v>250</v>
      </c>
    </row>
    <row r="9" spans="1:5" x14ac:dyDescent="0.25">
      <c r="A9" s="3" t="s">
        <v>25</v>
      </c>
    </row>
    <row r="10" spans="1:5" x14ac:dyDescent="0.25">
      <c r="A10" s="3" t="s">
        <v>26</v>
      </c>
    </row>
    <row r="11" spans="1:5" x14ac:dyDescent="0.25">
      <c r="A11" t="s">
        <v>52</v>
      </c>
      <c r="B11" s="26">
        <f>'Assumptions (v2)'!G28</f>
        <v>698.34521136127125</v>
      </c>
      <c r="C11" s="26">
        <f>'Assumptions (v2)'!G29</f>
        <v>474.385069084061</v>
      </c>
      <c r="D11" s="26">
        <f>'Assumptions (v2)'!G30</f>
        <v>241.54589371980677</v>
      </c>
      <c r="E11" s="26">
        <f>'Assumptions (v2)'!G31</f>
        <v>0</v>
      </c>
    </row>
    <row r="12" spans="1:5" x14ac:dyDescent="0.25">
      <c r="A12" t="s">
        <v>27</v>
      </c>
      <c r="B12" s="26">
        <f>'Assumptions (v2)'!C50</f>
        <v>90</v>
      </c>
      <c r="C12" s="26">
        <f>B12-'P&amp;L (v2)'!C8</f>
        <v>60</v>
      </c>
      <c r="D12" s="26">
        <f>C12-'P&amp;L (v2)'!D8</f>
        <v>30</v>
      </c>
      <c r="E12" s="26">
        <f>D12-'P&amp;L (v2)'!E8</f>
        <v>0</v>
      </c>
    </row>
    <row r="13" spans="1:5" x14ac:dyDescent="0.25">
      <c r="A13" s="3" t="s">
        <v>53</v>
      </c>
      <c r="B13" s="27">
        <f>B11+B12</f>
        <v>788.34521136127125</v>
      </c>
      <c r="C13" s="27">
        <f>C11+C12</f>
        <v>534.385069084061</v>
      </c>
      <c r="D13" s="27">
        <f>D11+D12</f>
        <v>271.54589371980677</v>
      </c>
      <c r="E13" s="27">
        <f>E11+E12</f>
        <v>0</v>
      </c>
    </row>
    <row r="14" spans="1:5" x14ac:dyDescent="0.25">
      <c r="A14" t="s">
        <v>28</v>
      </c>
      <c r="B14" s="26">
        <f>'Assumptions (v2)'!C52</f>
        <v>211.65478863872875</v>
      </c>
      <c r="C14" s="26">
        <f>'Assumptions (v2)'!D60</f>
        <v>145.33628819859376</v>
      </c>
      <c r="D14" s="26">
        <f>'Assumptions (v2)'!E60</f>
        <v>74.848188422275783</v>
      </c>
      <c r="E14" s="26">
        <f>'Assumptions (v2)'!F60</f>
        <v>0</v>
      </c>
    </row>
    <row r="15" spans="1:5" x14ac:dyDescent="0.25">
      <c r="A15" s="3" t="s">
        <v>29</v>
      </c>
      <c r="B15" s="27">
        <f>B13+B14</f>
        <v>1000</v>
      </c>
      <c r="C15" s="27">
        <f>C13+C14</f>
        <v>679.72135728265471</v>
      </c>
      <c r="D15" s="27">
        <f>D13+D14</f>
        <v>346.39408214208254</v>
      </c>
      <c r="E15" s="27">
        <f>E13+E14</f>
        <v>0</v>
      </c>
    </row>
    <row r="16" spans="1:5" x14ac:dyDescent="0.25">
      <c r="A16" s="3" t="s">
        <v>30</v>
      </c>
      <c r="B16" s="27">
        <f>B15</f>
        <v>1000</v>
      </c>
      <c r="C16" s="27">
        <f>C15</f>
        <v>679.72135728265471</v>
      </c>
      <c r="D16" s="27">
        <f>D15</f>
        <v>346.39408214208254</v>
      </c>
      <c r="E16" s="27">
        <f>E15</f>
        <v>0</v>
      </c>
    </row>
    <row r="18" spans="1:5" x14ac:dyDescent="0.25">
      <c r="A18" s="3" t="s">
        <v>31</v>
      </c>
    </row>
    <row r="19" spans="1:5" s="112" customFormat="1" x14ac:dyDescent="0.25">
      <c r="A19" s="112" t="s">
        <v>32</v>
      </c>
      <c r="B19" s="113">
        <v>0</v>
      </c>
      <c r="C19" s="113">
        <f>B19+'P&amp;L (v2)'!C27</f>
        <v>70.278642717345235</v>
      </c>
      <c r="D19" s="113">
        <f>C19+'P&amp;L (v2)'!D27</f>
        <v>153.6059178579174</v>
      </c>
      <c r="E19" s="113">
        <f>D19+'P&amp;L (v2)'!E27</f>
        <v>249.99999999999991</v>
      </c>
    </row>
    <row r="20" spans="1:5" x14ac:dyDescent="0.25">
      <c r="A20" s="3" t="s">
        <v>33</v>
      </c>
      <c r="B20" s="27">
        <f>B19</f>
        <v>0</v>
      </c>
      <c r="C20" s="27">
        <f>C19</f>
        <v>70.278642717345235</v>
      </c>
      <c r="D20" s="27">
        <f>D19</f>
        <v>153.6059178579174</v>
      </c>
      <c r="E20" s="27">
        <f>E19</f>
        <v>249.99999999999991</v>
      </c>
    </row>
    <row r="22" spans="1:5" x14ac:dyDescent="0.25">
      <c r="A22" s="15" t="s">
        <v>34</v>
      </c>
      <c r="B22" t="str">
        <f>IF(ABS(B7-B16-B20)&lt;0.01,"✅ Balanced","❌ "&amp;TEXT(B7-B16-B20,"#,##0.00"))</f>
        <v>✅ Balanced</v>
      </c>
      <c r="C22" t="str">
        <f>IF(ABS(C7-C16-C20)&lt;0.01,"✅ Balanced","❌ "&amp;TEXT(C7-C16-C20,"#,##0.00"))</f>
        <v>✅ Balanced</v>
      </c>
      <c r="D22" t="str">
        <f>IF(ABS(D7-D16-D20)&lt;0.01,"✅ Balanced","❌ "&amp;TEXT(D7-D16-D20,"#,##0.00"))</f>
        <v>✅ Balanced</v>
      </c>
      <c r="E22" t="str">
        <f>IF(ABS(E7-E16-E20)&lt;0.01,"✅ Balanced","❌ "&amp;TEXT(E7-E16-E20,"#,##0.00"))</f>
        <v>✅ Balanced</v>
      </c>
    </row>
  </sheetData>
  <pageMargins left="0.7" right="0.7" top="0.75" bottom="0.75" header="0.3" footer="0.3"/>
  <ignoredErrors>
    <ignoredError sqref="B14:E1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6759-430D-4249-A026-819D9BEDE807}">
  <sheetPr>
    <tabColor theme="3" tint="0.499984740745262"/>
  </sheetPr>
  <dimension ref="A1"/>
  <sheetViews>
    <sheetView workbookViewId="0"/>
    <sheetView workbookViewId="1"/>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E326-8A63-4815-AE6C-FE61189EC764}">
  <dimension ref="A1:G60"/>
  <sheetViews>
    <sheetView workbookViewId="0">
      <selection activeCell="E7" sqref="E7"/>
    </sheetView>
    <sheetView topLeftCell="A3" workbookViewId="1"/>
  </sheetViews>
  <sheetFormatPr defaultRowHeight="15" x14ac:dyDescent="0.25"/>
  <cols>
    <col min="1" max="1" width="53.28515625" customWidth="1"/>
    <col min="2" max="2" width="2.85546875" customWidth="1"/>
    <col min="3" max="8" width="18.140625" customWidth="1"/>
  </cols>
  <sheetData>
    <row r="1" spans="1:6" ht="18.75" x14ac:dyDescent="0.3">
      <c r="A1" s="1" t="s">
        <v>189</v>
      </c>
    </row>
    <row r="2" spans="1:6" x14ac:dyDescent="0.25">
      <c r="A2" s="44" t="s">
        <v>103</v>
      </c>
    </row>
    <row r="3" spans="1:6" x14ac:dyDescent="0.25">
      <c r="A3" s="32" t="s">
        <v>104</v>
      </c>
    </row>
    <row r="4" spans="1:6" x14ac:dyDescent="0.25">
      <c r="A4" s="32" t="s">
        <v>152</v>
      </c>
    </row>
    <row r="5" spans="1:6" x14ac:dyDescent="0.25">
      <c r="A5" s="32" t="s">
        <v>108</v>
      </c>
    </row>
    <row r="7" spans="1:6" x14ac:dyDescent="0.25">
      <c r="A7" s="4" t="s">
        <v>55</v>
      </c>
      <c r="B7" s="5"/>
      <c r="C7" s="5"/>
    </row>
    <row r="8" spans="1:6" x14ac:dyDescent="0.25">
      <c r="A8" t="s">
        <v>1</v>
      </c>
      <c r="C8" s="6">
        <v>3</v>
      </c>
    </row>
    <row r="9" spans="1:6" x14ac:dyDescent="0.25">
      <c r="A9" t="s">
        <v>6</v>
      </c>
      <c r="C9" s="11">
        <v>1000</v>
      </c>
    </row>
    <row r="11" spans="1:6" x14ac:dyDescent="0.25">
      <c r="A11" s="4" t="s">
        <v>56</v>
      </c>
      <c r="B11" s="5"/>
      <c r="C11" s="10" t="s">
        <v>4</v>
      </c>
      <c r="D11" s="42">
        <v>46022</v>
      </c>
      <c r="E11" s="42">
        <v>46387</v>
      </c>
      <c r="F11" s="42">
        <v>46752</v>
      </c>
    </row>
    <row r="12" spans="1:6" x14ac:dyDescent="0.25">
      <c r="A12" t="s">
        <v>7</v>
      </c>
      <c r="C12" s="11">
        <v>600</v>
      </c>
      <c r="D12" s="12">
        <f>C12/C8</f>
        <v>200</v>
      </c>
      <c r="E12" s="12">
        <f>C12/C8</f>
        <v>200</v>
      </c>
      <c r="F12" s="12">
        <f>C12/C8</f>
        <v>200</v>
      </c>
    </row>
    <row r="13" spans="1:6" x14ac:dyDescent="0.25">
      <c r="A13" t="s">
        <v>8</v>
      </c>
      <c r="C13" s="11">
        <v>150</v>
      </c>
      <c r="D13" s="12">
        <f>C13/C8</f>
        <v>50</v>
      </c>
      <c r="E13" s="12">
        <f>C13/C8</f>
        <v>50</v>
      </c>
      <c r="F13" s="12">
        <f>C13/C8</f>
        <v>50</v>
      </c>
    </row>
    <row r="14" spans="1:6" x14ac:dyDescent="0.25">
      <c r="A14" t="s">
        <v>57</v>
      </c>
      <c r="C14" s="13">
        <f>C12+C13</f>
        <v>750</v>
      </c>
      <c r="D14" s="13">
        <f>D12+D13</f>
        <v>250</v>
      </c>
      <c r="E14" s="13">
        <f>E12+E13</f>
        <v>250</v>
      </c>
      <c r="F14" s="13">
        <f>F12+F13</f>
        <v>250</v>
      </c>
    </row>
    <row r="15" spans="1:6" x14ac:dyDescent="0.25">
      <c r="A15" t="s">
        <v>58</v>
      </c>
      <c r="C15" s="11">
        <v>90</v>
      </c>
    </row>
    <row r="17" spans="1:7" x14ac:dyDescent="0.25">
      <c r="A17" s="4" t="s">
        <v>59</v>
      </c>
      <c r="B17" s="5"/>
      <c r="C17" s="5"/>
      <c r="D17" s="10" t="s">
        <v>60</v>
      </c>
      <c r="E17" s="10" t="s">
        <v>61</v>
      </c>
      <c r="F17" s="10" t="s">
        <v>62</v>
      </c>
    </row>
    <row r="18" spans="1:7" x14ac:dyDescent="0.25">
      <c r="A18" t="s">
        <v>63</v>
      </c>
      <c r="C18" s="23" t="s">
        <v>66</v>
      </c>
      <c r="D18" s="22">
        <v>0.03</v>
      </c>
      <c r="E18" s="22">
        <v>3.5000000000000003E-2</v>
      </c>
      <c r="F18" s="22">
        <v>0.04</v>
      </c>
    </row>
    <row r="19" spans="1:7" x14ac:dyDescent="0.25">
      <c r="A19" t="s">
        <v>64</v>
      </c>
      <c r="D19" s="22">
        <v>3.2500000000000001E-2</v>
      </c>
      <c r="E19" s="22">
        <v>3.7499999999999999E-2</v>
      </c>
      <c r="F19" s="22"/>
    </row>
    <row r="20" spans="1:7" x14ac:dyDescent="0.25">
      <c r="A20" t="s">
        <v>65</v>
      </c>
      <c r="D20" s="22">
        <v>3.5000000000000003E-2</v>
      </c>
      <c r="E20" s="22"/>
      <c r="F20" s="22"/>
    </row>
    <row r="22" spans="1:7" x14ac:dyDescent="0.25">
      <c r="A22" s="4" t="s">
        <v>67</v>
      </c>
      <c r="B22" s="5"/>
      <c r="C22" s="5"/>
      <c r="D22" s="10" t="s">
        <v>68</v>
      </c>
      <c r="E22" s="10" t="s">
        <v>69</v>
      </c>
      <c r="F22" s="10" t="s">
        <v>70</v>
      </c>
    </row>
    <row r="23" spans="1:7" x14ac:dyDescent="0.25">
      <c r="A23" t="s">
        <v>71</v>
      </c>
      <c r="D23" s="24">
        <f>1/(1+D18)^1</f>
        <v>0.970873786407767</v>
      </c>
      <c r="E23" s="24">
        <f>1/(1+E18)^2</f>
        <v>0.93351070036640305</v>
      </c>
      <c r="F23" s="24">
        <f>1/(1+F18)^3</f>
        <v>0.88899635867091487</v>
      </c>
    </row>
    <row r="24" spans="1:7" x14ac:dyDescent="0.25">
      <c r="A24" t="s">
        <v>72</v>
      </c>
      <c r="D24" s="24">
        <f>1/(1+D19)^1</f>
        <v>0.96852300242130751</v>
      </c>
      <c r="E24" s="24">
        <f>1/(1+E19)^2</f>
        <v>0.9290172739149366</v>
      </c>
    </row>
    <row r="25" spans="1:7" x14ac:dyDescent="0.25">
      <c r="A25" t="s">
        <v>73</v>
      </c>
      <c r="D25" s="24">
        <f>1/(1+D20)^1</f>
        <v>0.96618357487922713</v>
      </c>
    </row>
    <row r="27" spans="1:7" x14ac:dyDescent="0.25">
      <c r="A27" s="4" t="s">
        <v>74</v>
      </c>
      <c r="B27" s="5"/>
      <c r="C27" s="5"/>
      <c r="D27" s="25" t="s">
        <v>75</v>
      </c>
      <c r="E27" s="25" t="s">
        <v>76</v>
      </c>
      <c r="F27" s="25" t="s">
        <v>77</v>
      </c>
      <c r="G27" s="25" t="s">
        <v>78</v>
      </c>
    </row>
    <row r="28" spans="1:7" x14ac:dyDescent="0.25">
      <c r="A28" t="s">
        <v>79</v>
      </c>
      <c r="D28" s="26">
        <f>D14*D23</f>
        <v>242.71844660194176</v>
      </c>
      <c r="E28" s="26">
        <f>E14*E23</f>
        <v>233.37767509160076</v>
      </c>
      <c r="F28" s="26">
        <f>F14*F23</f>
        <v>222.24908966772873</v>
      </c>
      <c r="G28" s="27">
        <f>SUM(D28:F28)</f>
        <v>698.34521136127125</v>
      </c>
    </row>
    <row r="29" spans="1:7" x14ac:dyDescent="0.25">
      <c r="A29" t="s">
        <v>178</v>
      </c>
      <c r="D29" s="8"/>
      <c r="E29" s="26">
        <f>E14*D24</f>
        <v>242.13075060532688</v>
      </c>
      <c r="F29" s="26">
        <f>F14*E24</f>
        <v>232.25431847873415</v>
      </c>
      <c r="G29" s="27">
        <f>SUM(E29:F29)</f>
        <v>474.385069084061</v>
      </c>
    </row>
    <row r="30" spans="1:7" x14ac:dyDescent="0.25">
      <c r="A30" t="s">
        <v>179</v>
      </c>
      <c r="D30" s="8"/>
      <c r="E30" s="8"/>
      <c r="F30" s="26">
        <f>F14*D25</f>
        <v>241.54589371980677</v>
      </c>
      <c r="G30" s="27">
        <f>F30</f>
        <v>241.54589371980677</v>
      </c>
    </row>
    <row r="31" spans="1:7" x14ac:dyDescent="0.25">
      <c r="A31" t="s">
        <v>212</v>
      </c>
      <c r="G31" s="27">
        <v>0</v>
      </c>
    </row>
    <row r="33" spans="1:7" x14ac:dyDescent="0.25">
      <c r="A33" t="s">
        <v>180</v>
      </c>
      <c r="E33" s="26">
        <f>E14*D23</f>
        <v>242.71844660194176</v>
      </c>
      <c r="F33" s="26">
        <f>F14*E23</f>
        <v>233.37767509160076</v>
      </c>
      <c r="G33" s="27">
        <f>SUM(E33:F33)</f>
        <v>476.0961216935425</v>
      </c>
    </row>
    <row r="34" spans="1:7" x14ac:dyDescent="0.25">
      <c r="A34" t="s">
        <v>181</v>
      </c>
      <c r="F34" s="26">
        <f>F14*D23</f>
        <v>242.71844660194176</v>
      </c>
      <c r="G34" s="27">
        <f>F34</f>
        <v>242.71844660194176</v>
      </c>
    </row>
    <row r="36" spans="1:7" x14ac:dyDescent="0.25">
      <c r="A36" s="4" t="s">
        <v>80</v>
      </c>
      <c r="B36" s="5"/>
      <c r="C36" s="5"/>
      <c r="D36" s="42">
        <v>46022</v>
      </c>
      <c r="E36" s="42">
        <v>46387</v>
      </c>
      <c r="F36" s="42">
        <v>46752</v>
      </c>
    </row>
    <row r="37" spans="1:7" x14ac:dyDescent="0.25">
      <c r="A37" t="s">
        <v>81</v>
      </c>
      <c r="D37" s="26">
        <f>G28</f>
        <v>698.34521136127125</v>
      </c>
      <c r="E37" s="26">
        <f>G29</f>
        <v>474.385069084061</v>
      </c>
      <c r="F37" s="26">
        <f>G30</f>
        <v>241.54589371980677</v>
      </c>
    </row>
    <row r="38" spans="1:7" x14ac:dyDescent="0.25">
      <c r="A38" t="s">
        <v>82</v>
      </c>
      <c r="D38" s="26">
        <f>-D14</f>
        <v>-250</v>
      </c>
      <c r="E38" s="26">
        <f>-E14</f>
        <v>-250</v>
      </c>
      <c r="F38" s="26">
        <f>-F14</f>
        <v>-250</v>
      </c>
    </row>
    <row r="39" spans="1:7" x14ac:dyDescent="0.25">
      <c r="A39" t="s">
        <v>83</v>
      </c>
      <c r="D39" s="26">
        <f>G33-(G28-D14)</f>
        <v>27.750910332271246</v>
      </c>
      <c r="E39" s="26">
        <f>G34-(G29-E14)</f>
        <v>18.333377517880763</v>
      </c>
      <c r="F39" s="26">
        <f>G31-(G30-F14)</f>
        <v>8.4541062801932298</v>
      </c>
    </row>
    <row r="40" spans="1:7" x14ac:dyDescent="0.25">
      <c r="A40" t="s">
        <v>84</v>
      </c>
      <c r="D40" s="26">
        <f>G29-G33</f>
        <v>-1.7110526094814986</v>
      </c>
      <c r="E40" s="26">
        <f>G30-G34</f>
        <v>-1.172552882134994</v>
      </c>
      <c r="F40" s="26">
        <v>0</v>
      </c>
    </row>
    <row r="41" spans="1:7" x14ac:dyDescent="0.25">
      <c r="A41" t="s">
        <v>85</v>
      </c>
      <c r="D41" s="27">
        <f>SUM(D37:D40)</f>
        <v>474.385069084061</v>
      </c>
      <c r="E41" s="27">
        <f>SUM(E37:E40)</f>
        <v>241.54589371980677</v>
      </c>
      <c r="F41" s="27">
        <f>SUM(F37:F40)</f>
        <v>0</v>
      </c>
    </row>
    <row r="42" spans="1:7" x14ac:dyDescent="0.25">
      <c r="A42" s="19" t="s">
        <v>86</v>
      </c>
      <c r="D42" t="str">
        <f>IF(ABS(D41-G29)&lt;0.01,"✅","❌")</f>
        <v>✅</v>
      </c>
      <c r="E42" t="str">
        <f>IF(ABS(E41-G30)&lt;0.01,"✅","❌")</f>
        <v>✅</v>
      </c>
      <c r="F42" t="str">
        <f>IF(ABS(F41-G31)&lt;0.01,"✅","❌")</f>
        <v>✅</v>
      </c>
    </row>
    <row r="44" spans="1:7" x14ac:dyDescent="0.25">
      <c r="A44" s="4" t="s">
        <v>87</v>
      </c>
      <c r="B44" s="5"/>
      <c r="C44" s="5"/>
      <c r="D44" s="5"/>
      <c r="E44" s="5"/>
      <c r="F44" s="5"/>
    </row>
    <row r="45" spans="1:7" x14ac:dyDescent="0.25">
      <c r="A45" t="s">
        <v>88</v>
      </c>
      <c r="C45" s="26">
        <f>C15</f>
        <v>90</v>
      </c>
    </row>
    <row r="46" spans="1:7" x14ac:dyDescent="0.25">
      <c r="A46" t="s">
        <v>89</v>
      </c>
      <c r="C46" s="26">
        <f>C45/C8</f>
        <v>30</v>
      </c>
    </row>
    <row r="48" spans="1:7" x14ac:dyDescent="0.25">
      <c r="A48" s="4" t="s">
        <v>90</v>
      </c>
      <c r="B48" s="5"/>
      <c r="C48" s="5"/>
      <c r="D48" s="5"/>
    </row>
    <row r="49" spans="1:6" x14ac:dyDescent="0.25">
      <c r="A49" t="s">
        <v>91</v>
      </c>
      <c r="C49" s="26">
        <f>G28</f>
        <v>698.34521136127125</v>
      </c>
    </row>
    <row r="50" spans="1:6" x14ac:dyDescent="0.25">
      <c r="A50" t="s">
        <v>11</v>
      </c>
      <c r="C50" s="26">
        <f>C45</f>
        <v>90</v>
      </c>
    </row>
    <row r="51" spans="1:6" x14ac:dyDescent="0.25">
      <c r="A51" t="s">
        <v>53</v>
      </c>
      <c r="C51" s="27">
        <f>C49+C50</f>
        <v>788.34521136127125</v>
      </c>
    </row>
    <row r="52" spans="1:6" x14ac:dyDescent="0.25">
      <c r="A52" t="s">
        <v>12</v>
      </c>
      <c r="C52" s="27">
        <f>C9-C51</f>
        <v>211.65478863872875</v>
      </c>
    </row>
    <row r="53" spans="1:6" x14ac:dyDescent="0.25">
      <c r="A53" t="s">
        <v>13</v>
      </c>
      <c r="C53" s="27">
        <f>C51+C52</f>
        <v>1000</v>
      </c>
    </row>
    <row r="55" spans="1:6" x14ac:dyDescent="0.25">
      <c r="A55" s="4" t="s">
        <v>92</v>
      </c>
      <c r="B55" s="5"/>
      <c r="C55" s="5"/>
      <c r="D55" s="42">
        <v>46022</v>
      </c>
      <c r="E55" s="42">
        <v>46387</v>
      </c>
      <c r="F55" s="42">
        <v>46752</v>
      </c>
    </row>
    <row r="56" spans="1:6" x14ac:dyDescent="0.25">
      <c r="A56" t="s">
        <v>93</v>
      </c>
      <c r="D56" s="26">
        <f>C52</f>
        <v>211.65478863872875</v>
      </c>
      <c r="E56" s="26">
        <f>D60</f>
        <v>145.33628819859376</v>
      </c>
      <c r="F56" s="26">
        <f>E60</f>
        <v>74.848188422275783</v>
      </c>
    </row>
    <row r="57" spans="1:6" x14ac:dyDescent="0.25">
      <c r="A57" t="s">
        <v>94</v>
      </c>
      <c r="D57" s="26">
        <f>D56*D18</f>
        <v>6.3496436591618624</v>
      </c>
      <c r="E57" s="26">
        <f>E56*D18</f>
        <v>4.3600886459578128</v>
      </c>
      <c r="F57" s="26">
        <f>F56*D18</f>
        <v>2.2454456526682733</v>
      </c>
    </row>
    <row r="58" spans="1:6" x14ac:dyDescent="0.25">
      <c r="A58" s="9" t="s">
        <v>153</v>
      </c>
      <c r="D58" s="30">
        <v>0</v>
      </c>
      <c r="E58" s="30">
        <v>0</v>
      </c>
      <c r="F58" s="30">
        <v>0</v>
      </c>
    </row>
    <row r="59" spans="1:6" x14ac:dyDescent="0.25">
      <c r="A59" t="s">
        <v>95</v>
      </c>
      <c r="D59" s="26">
        <f>-(D56+D57+D58)/C8</f>
        <v>-72.668144099296867</v>
      </c>
      <c r="E59" s="26">
        <f>-(E56+E57+E58)/2</f>
        <v>-74.848188422275783</v>
      </c>
      <c r="F59" s="26">
        <f>-(F56+F57+F58)/1</f>
        <v>-77.093634074944049</v>
      </c>
    </row>
    <row r="60" spans="1:6" x14ac:dyDescent="0.25">
      <c r="A60" t="s">
        <v>96</v>
      </c>
      <c r="D60" s="27">
        <f>SUM(D56:D59)</f>
        <v>145.33628819859376</v>
      </c>
      <c r="E60" s="27">
        <f>SUM(E56:E59)</f>
        <v>74.848188422275783</v>
      </c>
      <c r="F60" s="27">
        <f>SUM(F56:F59)</f>
        <v>0</v>
      </c>
    </row>
  </sheetData>
  <pageMargins left="0.7" right="0.7" top="0.75" bottom="0.75" header="0.3" footer="0.3"/>
  <ignoredErrors>
    <ignoredError sqref="C52"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2703-1C13-4889-8AB6-2C302CCC1636}">
  <dimension ref="A1:E50"/>
  <sheetViews>
    <sheetView workbookViewId="0"/>
    <sheetView workbookViewId="1"/>
  </sheetViews>
  <sheetFormatPr defaultRowHeight="15" x14ac:dyDescent="0.25"/>
  <cols>
    <col min="1" max="1" width="57.140625" customWidth="1"/>
    <col min="2" max="2" width="2.85546875" customWidth="1"/>
    <col min="3" max="5" width="21.85546875" customWidth="1"/>
  </cols>
  <sheetData>
    <row r="1" spans="1:5" ht="18.75" x14ac:dyDescent="0.3">
      <c r="A1" s="31" t="s">
        <v>35</v>
      </c>
    </row>
    <row r="2" spans="1:5" x14ac:dyDescent="0.25">
      <c r="A2" s="32" t="s">
        <v>190</v>
      </c>
    </row>
    <row r="4" spans="1:5" x14ac:dyDescent="0.25">
      <c r="C4" s="83">
        <v>46022</v>
      </c>
      <c r="D4" s="83">
        <v>46387</v>
      </c>
      <c r="E4" s="83">
        <v>46752</v>
      </c>
    </row>
    <row r="5" spans="1:5" x14ac:dyDescent="0.25">
      <c r="A5" s="34" t="s">
        <v>36</v>
      </c>
    </row>
    <row r="6" spans="1:5" x14ac:dyDescent="0.25">
      <c r="A6" s="33" t="s">
        <v>175</v>
      </c>
      <c r="C6" s="26">
        <f>'Assumptions (v3)'!D12</f>
        <v>200</v>
      </c>
      <c r="D6" s="26">
        <f>'Assumptions (v3)'!E12</f>
        <v>200</v>
      </c>
      <c r="E6" s="26">
        <f>'Assumptions (v3)'!F12</f>
        <v>200</v>
      </c>
    </row>
    <row r="7" spans="1:5" x14ac:dyDescent="0.25">
      <c r="A7" s="33" t="s">
        <v>176</v>
      </c>
      <c r="C7" s="26">
        <f>'Assumptions (v3)'!D13</f>
        <v>50</v>
      </c>
      <c r="D7" s="26">
        <f>'Assumptions (v3)'!E13</f>
        <v>50</v>
      </c>
      <c r="E7" s="26">
        <f>'Assumptions (v3)'!F13</f>
        <v>50</v>
      </c>
    </row>
    <row r="8" spans="1:5" x14ac:dyDescent="0.25">
      <c r="A8" s="33" t="s">
        <v>37</v>
      </c>
      <c r="C8" s="26">
        <f>'Assumptions (v3)'!C46</f>
        <v>30</v>
      </c>
      <c r="D8" s="26">
        <f>'Assumptions (v3)'!C46</f>
        <v>30</v>
      </c>
      <c r="E8" s="26">
        <f>'Assumptions (v3)'!C46</f>
        <v>30</v>
      </c>
    </row>
    <row r="9" spans="1:5" x14ac:dyDescent="0.25">
      <c r="A9" s="33" t="s">
        <v>38</v>
      </c>
      <c r="C9" s="26">
        <f>-'Assumptions (v3)'!D59</f>
        <v>72.668144099296867</v>
      </c>
      <c r="D9" s="26">
        <f>-'Assumptions (v3)'!E59</f>
        <v>74.848188422275783</v>
      </c>
      <c r="E9" s="26">
        <f>-'Assumptions (v3)'!F59</f>
        <v>77.093634074944049</v>
      </c>
    </row>
    <row r="11" spans="1:5" x14ac:dyDescent="0.25">
      <c r="A11" s="34" t="s">
        <v>39</v>
      </c>
      <c r="C11" s="27">
        <f>SUM(C6:C9)</f>
        <v>352.66814409929685</v>
      </c>
      <c r="D11" s="27">
        <f>SUM(D6:D9)</f>
        <v>354.84818842227577</v>
      </c>
      <c r="E11" s="27">
        <f>SUM(E6:E9)</f>
        <v>357.09363407494402</v>
      </c>
    </row>
    <row r="13" spans="1:5" x14ac:dyDescent="0.25">
      <c r="A13" s="34" t="s">
        <v>40</v>
      </c>
    </row>
    <row r="14" spans="1:5" x14ac:dyDescent="0.25">
      <c r="A14" s="33" t="s">
        <v>41</v>
      </c>
      <c r="C14" s="26">
        <f>'Assumptions (v3)'!D12</f>
        <v>200</v>
      </c>
      <c r="D14" s="26">
        <f>'Assumptions (v3)'!E12</f>
        <v>200</v>
      </c>
      <c r="E14" s="26">
        <f>'Assumptions (v3)'!F12</f>
        <v>200</v>
      </c>
    </row>
    <row r="15" spans="1:5" x14ac:dyDescent="0.25">
      <c r="A15" t="s">
        <v>42</v>
      </c>
      <c r="C15" s="26">
        <f>'Assumptions (v3)'!D13</f>
        <v>50</v>
      </c>
      <c r="D15" s="26">
        <f>'Assumptions (v3)'!E13</f>
        <v>50</v>
      </c>
      <c r="E15" s="26">
        <f>'Assumptions (v3)'!F13</f>
        <v>50</v>
      </c>
    </row>
    <row r="17" spans="1:5" x14ac:dyDescent="0.25">
      <c r="A17" s="34" t="s">
        <v>43</v>
      </c>
      <c r="C17" s="27">
        <f>-(C14+C15)</f>
        <v>-250</v>
      </c>
      <c r="D17" s="27">
        <f>-(D14+D15)</f>
        <v>-250</v>
      </c>
      <c r="E17" s="27">
        <f>-(E14+E15)</f>
        <v>-250</v>
      </c>
    </row>
    <row r="19" spans="1:5" x14ac:dyDescent="0.25">
      <c r="A19" s="58" t="s">
        <v>44</v>
      </c>
      <c r="B19" s="58"/>
      <c r="C19" s="28">
        <f>C11+C17</f>
        <v>102.66814409929685</v>
      </c>
      <c r="D19" s="28">
        <f>D11+D17</f>
        <v>104.84818842227577</v>
      </c>
      <c r="E19" s="28">
        <f>E11+E17</f>
        <v>107.09363407494402</v>
      </c>
    </row>
    <row r="21" spans="1:5" x14ac:dyDescent="0.25">
      <c r="A21" s="34" t="s">
        <v>191</v>
      </c>
    </row>
    <row r="22" spans="1:5" x14ac:dyDescent="0.25">
      <c r="A22" s="33" t="s">
        <v>154</v>
      </c>
      <c r="C22" s="26">
        <f>-'Assumptions (v3)'!D39</f>
        <v>-27.750910332271246</v>
      </c>
      <c r="D22" s="26">
        <f>-'Assumptions (v3)'!E39</f>
        <v>-18.333377517880763</v>
      </c>
      <c r="E22" s="26">
        <f>-'Assumptions (v3)'!F39</f>
        <v>-8.4541062801932298</v>
      </c>
    </row>
    <row r="23" spans="1:5" x14ac:dyDescent="0.25">
      <c r="A23" s="33" t="s">
        <v>155</v>
      </c>
      <c r="C23" s="26">
        <f>-'Assumptions (v3)'!D57</f>
        <v>-6.3496436591618624</v>
      </c>
      <c r="D23" s="26">
        <f>-'Assumptions (v3)'!E57</f>
        <v>-4.3600886459578128</v>
      </c>
      <c r="E23" s="26">
        <f>-'Assumptions (v3)'!F57</f>
        <v>-2.2454456526682733</v>
      </c>
    </row>
    <row r="24" spans="1:5" x14ac:dyDescent="0.25">
      <c r="A24" s="34" t="s">
        <v>156</v>
      </c>
      <c r="C24" s="27">
        <f>SUM(C22:C23)</f>
        <v>-34.10055399143311</v>
      </c>
      <c r="D24" s="27">
        <f>SUM(D22:D23)</f>
        <v>-22.693466163838576</v>
      </c>
      <c r="E24" s="27">
        <f>SUM(E22:E23)</f>
        <v>-10.699551932861503</v>
      </c>
    </row>
    <row r="26" spans="1:5" ht="15.75" thickBot="1" x14ac:dyDescent="0.3">
      <c r="A26" s="90" t="s">
        <v>100</v>
      </c>
      <c r="B26" s="90"/>
      <c r="C26" s="91">
        <f>C19+C24</f>
        <v>68.567590107863737</v>
      </c>
      <c r="D26" s="91">
        <f>D19+D24</f>
        <v>82.154722258437189</v>
      </c>
      <c r="E26" s="91">
        <f>E19+E24</f>
        <v>96.39408214208251</v>
      </c>
    </row>
    <row r="27" spans="1:5" ht="15.75" thickTop="1" x14ac:dyDescent="0.25"/>
    <row r="28" spans="1:5" x14ac:dyDescent="0.25">
      <c r="A28" s="34" t="s">
        <v>157</v>
      </c>
      <c r="C28" s="27">
        <f>C26</f>
        <v>68.567590107863737</v>
      </c>
      <c r="D28" s="27">
        <f>C28+D26</f>
        <v>150.72231236630091</v>
      </c>
      <c r="E28" s="27">
        <f>D28+E26</f>
        <v>247.11639450838342</v>
      </c>
    </row>
    <row r="30" spans="1:5" x14ac:dyDescent="0.25">
      <c r="A30" s="34" t="s">
        <v>221</v>
      </c>
    </row>
    <row r="31" spans="1:5" x14ac:dyDescent="0.25">
      <c r="A31" s="33" t="s">
        <v>158</v>
      </c>
      <c r="C31" s="26">
        <f>-'Assumptions (v3)'!D40</f>
        <v>1.7110526094814986</v>
      </c>
      <c r="D31" s="26">
        <f>-'Assumptions (v3)'!E40</f>
        <v>1.172552882134994</v>
      </c>
      <c r="E31" s="26">
        <f>-'Assumptions (v3)'!F40</f>
        <v>0</v>
      </c>
    </row>
    <row r="32" spans="1:5" x14ac:dyDescent="0.25">
      <c r="A32" s="34" t="s">
        <v>159</v>
      </c>
      <c r="C32" s="27">
        <f>C31</f>
        <v>1.7110526094814986</v>
      </c>
      <c r="D32" s="27">
        <f>D31</f>
        <v>1.172552882134994</v>
      </c>
      <c r="E32" s="27">
        <f>E31</f>
        <v>0</v>
      </c>
    </row>
    <row r="34" spans="1:5" x14ac:dyDescent="0.25">
      <c r="A34" s="82" t="s">
        <v>160</v>
      </c>
      <c r="B34" s="82"/>
      <c r="C34" s="84">
        <f>C26+C32</f>
        <v>70.278642717345235</v>
      </c>
      <c r="D34" s="84">
        <f>D26+D32</f>
        <v>83.327275140572183</v>
      </c>
      <c r="E34" s="84">
        <f>E26+E32</f>
        <v>96.39408214208251</v>
      </c>
    </row>
    <row r="36" spans="1:5" x14ac:dyDescent="0.25">
      <c r="A36" s="34" t="s">
        <v>161</v>
      </c>
      <c r="C36" s="27">
        <f>C34</f>
        <v>70.278642717345235</v>
      </c>
      <c r="D36" s="27">
        <f>C36+D34</f>
        <v>153.6059178579174</v>
      </c>
      <c r="E36" s="27">
        <f>D36+E34</f>
        <v>249.99999999999991</v>
      </c>
    </row>
    <row r="39" spans="1:5" x14ac:dyDescent="0.25">
      <c r="A39" s="34" t="s">
        <v>195</v>
      </c>
    </row>
    <row r="40" spans="1:5" x14ac:dyDescent="0.25">
      <c r="A40" s="33" t="s">
        <v>213</v>
      </c>
    </row>
    <row r="41" spans="1:5" x14ac:dyDescent="0.25">
      <c r="A41" s="33" t="s">
        <v>214</v>
      </c>
    </row>
    <row r="42" spans="1:5" x14ac:dyDescent="0.25">
      <c r="A42" s="33" t="s">
        <v>215</v>
      </c>
    </row>
    <row r="43" spans="1:5" x14ac:dyDescent="0.25">
      <c r="A43" s="33" t="s">
        <v>220</v>
      </c>
    </row>
    <row r="44" spans="1:5" x14ac:dyDescent="0.25">
      <c r="A44" s="33"/>
    </row>
    <row r="45" spans="1:5" x14ac:dyDescent="0.25">
      <c r="A45" s="86" t="s">
        <v>166</v>
      </c>
    </row>
    <row r="46" spans="1:5" x14ac:dyDescent="0.25">
      <c r="A46" s="45" t="s">
        <v>48</v>
      </c>
    </row>
    <row r="47" spans="1:5" x14ac:dyDescent="0.25">
      <c r="A47" s="89" t="s">
        <v>49</v>
      </c>
      <c r="C47" s="61">
        <f>'Assumptions (v3)'!D14</f>
        <v>250</v>
      </c>
      <c r="D47" s="61">
        <f>'Assumptions (v3)'!E14</f>
        <v>250</v>
      </c>
      <c r="E47" s="61">
        <f>'Assumptions (v3)'!F14</f>
        <v>250</v>
      </c>
    </row>
    <row r="48" spans="1:5" x14ac:dyDescent="0.25">
      <c r="A48" s="56" t="s">
        <v>192</v>
      </c>
    </row>
    <row r="49" spans="1:1" x14ac:dyDescent="0.25">
      <c r="A49" s="56" t="s">
        <v>193</v>
      </c>
    </row>
    <row r="50" spans="1:1" x14ac:dyDescent="0.25">
      <c r="A50" s="56" t="s">
        <v>194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2FFF0-D385-4139-A45D-F1E1704628DF}">
  <dimension ref="A1:E29"/>
  <sheetViews>
    <sheetView workbookViewId="0">
      <selection activeCell="A32" sqref="A32"/>
    </sheetView>
    <sheetView workbookViewId="1"/>
  </sheetViews>
  <sheetFormatPr defaultRowHeight="15" x14ac:dyDescent="0.25"/>
  <cols>
    <col min="1" max="1" width="57.140625" customWidth="1"/>
    <col min="2" max="5" width="21.85546875" customWidth="1"/>
  </cols>
  <sheetData>
    <row r="1" spans="1:5" ht="18.75" x14ac:dyDescent="0.3">
      <c r="A1" s="31" t="s">
        <v>18</v>
      </c>
    </row>
    <row r="2" spans="1:5" x14ac:dyDescent="0.25">
      <c r="A2" s="32" t="s">
        <v>190</v>
      </c>
    </row>
    <row r="4" spans="1:5" x14ac:dyDescent="0.25">
      <c r="B4" s="83">
        <v>45658</v>
      </c>
      <c r="C4" s="83">
        <v>46022</v>
      </c>
      <c r="D4" s="83">
        <v>46387</v>
      </c>
      <c r="E4" s="83">
        <v>46752</v>
      </c>
    </row>
    <row r="5" spans="1:5" x14ac:dyDescent="0.25">
      <c r="A5" s="34" t="s">
        <v>22</v>
      </c>
    </row>
    <row r="6" spans="1:5" x14ac:dyDescent="0.25">
      <c r="A6" s="33" t="s">
        <v>23</v>
      </c>
      <c r="B6" s="26">
        <f>'Assumptions (v3)'!C9</f>
        <v>1000</v>
      </c>
      <c r="C6" s="26">
        <f>B6-'P&amp;L (v3)'!C47</f>
        <v>750</v>
      </c>
      <c r="D6" s="26">
        <f>C6-'P&amp;L (v3)'!D47</f>
        <v>500</v>
      </c>
      <c r="E6" s="26">
        <f>D6-'P&amp;L (v3)'!E47</f>
        <v>250</v>
      </c>
    </row>
    <row r="7" spans="1:5" x14ac:dyDescent="0.25">
      <c r="A7" s="34" t="s">
        <v>24</v>
      </c>
      <c r="B7" s="27">
        <f>B6</f>
        <v>1000</v>
      </c>
      <c r="C7" s="27">
        <f>C6</f>
        <v>750</v>
      </c>
      <c r="D7" s="27">
        <f>D6</f>
        <v>500</v>
      </c>
      <c r="E7" s="27">
        <f>E6</f>
        <v>250</v>
      </c>
    </row>
    <row r="9" spans="1:5" x14ac:dyDescent="0.25">
      <c r="A9" s="34" t="s">
        <v>25</v>
      </c>
    </row>
    <row r="10" spans="1:5" x14ac:dyDescent="0.25">
      <c r="A10" s="34" t="s">
        <v>26</v>
      </c>
    </row>
    <row r="11" spans="1:5" x14ac:dyDescent="0.25">
      <c r="A11" t="s">
        <v>52</v>
      </c>
      <c r="B11" s="26">
        <f>'Assumptions (v3)'!G28</f>
        <v>698.34521136127125</v>
      </c>
      <c r="C11" s="26">
        <f>'Assumptions (v3)'!G29</f>
        <v>474.385069084061</v>
      </c>
      <c r="D11" s="26">
        <f>'Assumptions (v3)'!G30</f>
        <v>241.54589371980677</v>
      </c>
      <c r="E11" s="26">
        <f>'Assumptions (v3)'!G31</f>
        <v>0</v>
      </c>
    </row>
    <row r="12" spans="1:5" x14ac:dyDescent="0.25">
      <c r="A12" t="s">
        <v>27</v>
      </c>
      <c r="B12" s="26">
        <f>'Assumptions (v3)'!C50</f>
        <v>90</v>
      </c>
      <c r="C12" s="26">
        <f>B12-'P&amp;L (v3)'!C8</f>
        <v>60</v>
      </c>
      <c r="D12" s="26">
        <f>C12-'P&amp;L (v3)'!D8</f>
        <v>30</v>
      </c>
      <c r="E12" s="26">
        <f>D12-'P&amp;L (v3)'!E8</f>
        <v>0</v>
      </c>
    </row>
    <row r="13" spans="1:5" x14ac:dyDescent="0.25">
      <c r="A13" s="34" t="s">
        <v>53</v>
      </c>
      <c r="B13" s="27">
        <f>B11+B12</f>
        <v>788.34521136127125</v>
      </c>
      <c r="C13" s="27">
        <f>C11+C12</f>
        <v>534.385069084061</v>
      </c>
      <c r="D13" s="27">
        <f>D11+D12</f>
        <v>271.54589371980677</v>
      </c>
      <c r="E13" s="27">
        <f>E11+E12</f>
        <v>0</v>
      </c>
    </row>
    <row r="14" spans="1:5" x14ac:dyDescent="0.25">
      <c r="A14" t="s">
        <v>28</v>
      </c>
      <c r="B14" s="26">
        <f>'Assumptions (v3)'!C52</f>
        <v>211.65478863872875</v>
      </c>
      <c r="C14" s="26">
        <f>'Assumptions (v3)'!D60</f>
        <v>145.33628819859376</v>
      </c>
      <c r="D14" s="26">
        <f>'Assumptions (v3)'!E60</f>
        <v>74.848188422275783</v>
      </c>
      <c r="E14" s="26">
        <f>'Assumptions (v3)'!F60</f>
        <v>0</v>
      </c>
    </row>
    <row r="15" spans="1:5" x14ac:dyDescent="0.25">
      <c r="A15" s="34" t="s">
        <v>29</v>
      </c>
      <c r="B15" s="27">
        <f>B13+B14</f>
        <v>1000</v>
      </c>
      <c r="C15" s="27">
        <f>C13+C14</f>
        <v>679.72135728265471</v>
      </c>
      <c r="D15" s="27">
        <f>D13+D14</f>
        <v>346.39408214208254</v>
      </c>
      <c r="E15" s="27">
        <f>E13+E14</f>
        <v>0</v>
      </c>
    </row>
    <row r="16" spans="1:5" x14ac:dyDescent="0.25">
      <c r="A16" s="34" t="s">
        <v>30</v>
      </c>
      <c r="B16" s="27">
        <f>B15</f>
        <v>1000</v>
      </c>
      <c r="C16" s="27">
        <f>C15</f>
        <v>679.72135728265471</v>
      </c>
      <c r="D16" s="27">
        <f>D15</f>
        <v>346.39408214208254</v>
      </c>
      <c r="E16" s="27">
        <f>E15</f>
        <v>0</v>
      </c>
    </row>
    <row r="18" spans="1:5" x14ac:dyDescent="0.25">
      <c r="A18" s="34" t="s">
        <v>31</v>
      </c>
    </row>
    <row r="19" spans="1:5" x14ac:dyDescent="0.25">
      <c r="A19" s="112" t="s">
        <v>32</v>
      </c>
      <c r="B19" s="26">
        <v>0</v>
      </c>
      <c r="C19" s="26">
        <f>B19+'P&amp;L (v3)'!C26</f>
        <v>68.567590107863737</v>
      </c>
      <c r="D19" s="26">
        <f>C19+'P&amp;L (v3)'!D26</f>
        <v>150.72231236630091</v>
      </c>
      <c r="E19" s="26">
        <f>D19+'P&amp;L (v3)'!E26</f>
        <v>247.11639450838342</v>
      </c>
    </row>
    <row r="20" spans="1:5" x14ac:dyDescent="0.25">
      <c r="A20" s="112" t="s">
        <v>162</v>
      </c>
      <c r="B20" s="26">
        <v>0</v>
      </c>
      <c r="C20" s="26">
        <f>B20+'P&amp;L (v3)'!C32</f>
        <v>1.7110526094814986</v>
      </c>
      <c r="D20" s="26">
        <f>C20+'P&amp;L (v3)'!D32</f>
        <v>2.8836054916164926</v>
      </c>
      <c r="E20" s="26">
        <f>D20+'P&amp;L (v3)'!E32</f>
        <v>2.8836054916164926</v>
      </c>
    </row>
    <row r="21" spans="1:5" x14ac:dyDescent="0.25">
      <c r="A21" s="34" t="s">
        <v>33</v>
      </c>
      <c r="B21" s="27">
        <f>B19+B20</f>
        <v>0</v>
      </c>
      <c r="C21" s="27">
        <f>C19+C20</f>
        <v>70.278642717345235</v>
      </c>
      <c r="D21" s="27">
        <f>D19+D20</f>
        <v>153.6059178579174</v>
      </c>
      <c r="E21" s="27">
        <f>E19+E20</f>
        <v>249.99999999999991</v>
      </c>
    </row>
    <row r="23" spans="1:5" x14ac:dyDescent="0.25">
      <c r="A23" s="37" t="s">
        <v>34</v>
      </c>
      <c r="B23" t="str">
        <f>IF(ABS(B7-B16-B21)&lt;0.01,"✅ Balanced","❌ "&amp;TEXT(B7-B16-B21,"#,##0.00"))</f>
        <v>✅ Balanced</v>
      </c>
      <c r="C23" t="str">
        <f>IF(ABS(C7-C16-C21)&lt;0.01,"✅ Balanced","❌ "&amp;TEXT(C7-C16-C21,"#,##0.00"))</f>
        <v>✅ Balanced</v>
      </c>
      <c r="D23" t="str">
        <f>IF(ABS(D7-D16-D21)&lt;0.01,"✅ Balanced","❌ "&amp;TEXT(D7-D16-D21,"#,##0.00"))</f>
        <v>✅ Balanced</v>
      </c>
      <c r="E23" t="str">
        <f>IF(ABS(E7-E16-E21)&lt;0.01,"✅ Balanced","❌ "&amp;TEXT(E7-E16-E21,"#,##0.00"))</f>
        <v>✅ Balanced</v>
      </c>
    </row>
    <row r="25" spans="1:5" x14ac:dyDescent="0.25">
      <c r="A25" s="34" t="s">
        <v>195</v>
      </c>
    </row>
    <row r="26" spans="1:5" x14ac:dyDescent="0.25">
      <c r="A26" s="33" t="s">
        <v>216</v>
      </c>
    </row>
    <row r="27" spans="1:5" x14ac:dyDescent="0.25">
      <c r="A27" s="33" t="s">
        <v>217</v>
      </c>
    </row>
    <row r="28" spans="1:5" x14ac:dyDescent="0.25">
      <c r="A28" s="33" t="s">
        <v>218</v>
      </c>
    </row>
    <row r="29" spans="1:5" x14ac:dyDescent="0.25">
      <c r="A29" s="33" t="s">
        <v>219</v>
      </c>
    </row>
  </sheetData>
  <pageMargins left="0.7" right="0.7" top="0.75" bottom="0.75" header="0.3" footer="0.3"/>
  <ignoredErrors>
    <ignoredError sqref="C14:E14"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1C9FE-2F5D-4B6D-8666-EF2A3215BED5}">
  <sheetPr>
    <tabColor theme="3" tint="0.249977111117893"/>
  </sheetPr>
  <dimension ref="A1"/>
  <sheetViews>
    <sheetView workbookViewId="0"/>
    <sheetView workbookViewId="1"/>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3CD46-94BA-476C-A2B5-C90DFD297E42}">
  <dimension ref="A1:G65"/>
  <sheetViews>
    <sheetView tabSelected="1" topLeftCell="A12" workbookViewId="0">
      <selection activeCell="A40" sqref="A40"/>
    </sheetView>
    <sheetView workbookViewId="1">
      <selection activeCell="F53" sqref="F53"/>
    </sheetView>
  </sheetViews>
  <sheetFormatPr defaultRowHeight="15" x14ac:dyDescent="0.25"/>
  <cols>
    <col min="1" max="1" width="61" customWidth="1"/>
    <col min="3" max="7" width="17.140625" customWidth="1"/>
  </cols>
  <sheetData>
    <row r="1" spans="1:6" ht="18.75" x14ac:dyDescent="0.3">
      <c r="A1" s="31" t="s">
        <v>182</v>
      </c>
    </row>
    <row r="2" spans="1:6" x14ac:dyDescent="0.25">
      <c r="A2" s="44" t="s">
        <v>103</v>
      </c>
    </row>
    <row r="3" spans="1:6" x14ac:dyDescent="0.25">
      <c r="A3" s="32" t="s">
        <v>109</v>
      </c>
    </row>
    <row r="4" spans="1:6" x14ac:dyDescent="0.25">
      <c r="A4" s="32" t="s">
        <v>104</v>
      </c>
    </row>
    <row r="5" spans="1:6" x14ac:dyDescent="0.25">
      <c r="A5" s="32" t="s">
        <v>107</v>
      </c>
    </row>
    <row r="7" spans="1:6" x14ac:dyDescent="0.25">
      <c r="A7" s="46" t="s">
        <v>55</v>
      </c>
      <c r="B7" s="5"/>
      <c r="C7" s="5"/>
    </row>
    <row r="8" spans="1:6" x14ac:dyDescent="0.25">
      <c r="A8" s="32" t="s">
        <v>1</v>
      </c>
      <c r="C8" s="47">
        <v>3</v>
      </c>
    </row>
    <row r="9" spans="1:6" x14ac:dyDescent="0.25">
      <c r="A9" s="32" t="s">
        <v>6</v>
      </c>
      <c r="C9" s="48">
        <v>1000</v>
      </c>
    </row>
    <row r="11" spans="1:6" x14ac:dyDescent="0.25">
      <c r="A11" s="35" t="s">
        <v>110</v>
      </c>
      <c r="B11" s="5"/>
      <c r="C11" s="36" t="s">
        <v>4</v>
      </c>
      <c r="D11" s="43">
        <v>46022</v>
      </c>
      <c r="E11" s="43">
        <v>46387</v>
      </c>
      <c r="F11" s="43">
        <v>46752</v>
      </c>
    </row>
    <row r="12" spans="1:6" x14ac:dyDescent="0.25">
      <c r="A12" s="33" t="s">
        <v>7</v>
      </c>
      <c r="C12" s="48">
        <v>600</v>
      </c>
      <c r="D12" s="39">
        <f>C12/C8</f>
        <v>200</v>
      </c>
      <c r="E12" s="39">
        <f>C12/C8</f>
        <v>200</v>
      </c>
      <c r="F12" s="39">
        <f>C12/C8</f>
        <v>200</v>
      </c>
    </row>
    <row r="13" spans="1:6" x14ac:dyDescent="0.25">
      <c r="A13" s="33" t="s">
        <v>8</v>
      </c>
      <c r="C13" s="48">
        <v>150</v>
      </c>
      <c r="D13" s="39">
        <f>C13/C8</f>
        <v>50</v>
      </c>
      <c r="E13" s="39">
        <f>C13/C8</f>
        <v>50</v>
      </c>
      <c r="F13" s="39">
        <f>C13/C8</f>
        <v>50</v>
      </c>
    </row>
    <row r="14" spans="1:6" x14ac:dyDescent="0.25">
      <c r="A14" s="38" t="s">
        <v>111</v>
      </c>
      <c r="C14" s="38">
        <f>C12+C13</f>
        <v>750</v>
      </c>
      <c r="D14" s="38">
        <f>D12+D13</f>
        <v>250</v>
      </c>
      <c r="E14" s="38">
        <f>E12+E13</f>
        <v>250</v>
      </c>
      <c r="F14" s="38">
        <f>F12+F13</f>
        <v>250</v>
      </c>
    </row>
    <row r="15" spans="1:6" x14ac:dyDescent="0.25">
      <c r="A15" s="33" t="s">
        <v>58</v>
      </c>
      <c r="C15" s="48">
        <v>90</v>
      </c>
    </row>
    <row r="17" spans="1:7" x14ac:dyDescent="0.25">
      <c r="A17" s="49" t="s">
        <v>112</v>
      </c>
      <c r="B17" s="29"/>
      <c r="C17" s="29"/>
      <c r="D17" s="50">
        <v>46022</v>
      </c>
      <c r="E17" s="50">
        <v>46387</v>
      </c>
      <c r="F17" s="50">
        <v>46752</v>
      </c>
    </row>
    <row r="18" spans="1:7" x14ac:dyDescent="0.25">
      <c r="A18" s="33" t="s">
        <v>113</v>
      </c>
      <c r="D18" s="48">
        <v>250</v>
      </c>
      <c r="E18" s="48">
        <v>250</v>
      </c>
      <c r="F18" s="48">
        <v>250</v>
      </c>
    </row>
    <row r="19" spans="1:7" x14ac:dyDescent="0.25">
      <c r="A19" s="33" t="s">
        <v>114</v>
      </c>
      <c r="D19" s="39">
        <f>D13</f>
        <v>50</v>
      </c>
      <c r="E19" s="39">
        <f>E13</f>
        <v>50</v>
      </c>
      <c r="F19" s="39">
        <f>F13</f>
        <v>50</v>
      </c>
    </row>
    <row r="20" spans="1:7" x14ac:dyDescent="0.25">
      <c r="A20" s="34" t="s">
        <v>115</v>
      </c>
      <c r="D20" s="38">
        <f>D18+D19</f>
        <v>300</v>
      </c>
      <c r="E20" s="38">
        <f>E18+E19</f>
        <v>300</v>
      </c>
      <c r="F20" s="38">
        <f>F18+F19</f>
        <v>300</v>
      </c>
    </row>
    <row r="22" spans="1:7" x14ac:dyDescent="0.25">
      <c r="A22" s="35" t="s">
        <v>59</v>
      </c>
      <c r="B22" s="5"/>
      <c r="C22" s="5"/>
      <c r="D22" s="36" t="s">
        <v>60</v>
      </c>
      <c r="E22" s="36" t="s">
        <v>61</v>
      </c>
      <c r="F22" s="36" t="s">
        <v>62</v>
      </c>
    </row>
    <row r="23" spans="1:7" x14ac:dyDescent="0.25">
      <c r="A23" s="33" t="s">
        <v>63</v>
      </c>
      <c r="C23" s="51" t="s">
        <v>66</v>
      </c>
      <c r="D23" s="52">
        <v>0.03</v>
      </c>
      <c r="E23" s="52">
        <v>3.5000000000000003E-2</v>
      </c>
      <c r="F23" s="52">
        <v>0.04</v>
      </c>
    </row>
    <row r="24" spans="1:7" x14ac:dyDescent="0.25">
      <c r="A24" s="33" t="s">
        <v>64</v>
      </c>
      <c r="D24" s="52">
        <v>0.03</v>
      </c>
      <c r="E24" s="52">
        <v>3.5000000000000003E-2</v>
      </c>
    </row>
    <row r="25" spans="1:7" x14ac:dyDescent="0.25">
      <c r="A25" s="33" t="s">
        <v>65</v>
      </c>
      <c r="D25" s="52">
        <v>0.03</v>
      </c>
    </row>
    <row r="27" spans="1:7" x14ac:dyDescent="0.25">
      <c r="A27" s="35" t="s">
        <v>67</v>
      </c>
      <c r="B27" s="5"/>
      <c r="C27" s="5"/>
      <c r="D27" s="36" t="s">
        <v>68</v>
      </c>
      <c r="E27" s="36" t="s">
        <v>69</v>
      </c>
      <c r="F27" s="36" t="s">
        <v>70</v>
      </c>
    </row>
    <row r="28" spans="1:7" x14ac:dyDescent="0.25">
      <c r="A28" s="33" t="s">
        <v>71</v>
      </c>
      <c r="D28" s="53">
        <f>1/(1+D23)^1</f>
        <v>0.970873786407767</v>
      </c>
      <c r="E28" s="53">
        <f>1/(1+E23)^2</f>
        <v>0.93351070036640305</v>
      </c>
      <c r="F28" s="53">
        <f>1/(1+F23)^3</f>
        <v>0.88899635867091487</v>
      </c>
    </row>
    <row r="29" spans="1:7" x14ac:dyDescent="0.25">
      <c r="A29" s="33" t="s">
        <v>72</v>
      </c>
      <c r="D29" s="53">
        <f>1/(1+D24)^1</f>
        <v>0.970873786407767</v>
      </c>
      <c r="E29" s="53">
        <f>1/(1+E24)^2</f>
        <v>0.93351070036640305</v>
      </c>
    </row>
    <row r="30" spans="1:7" x14ac:dyDescent="0.25">
      <c r="A30" s="33" t="s">
        <v>73</v>
      </c>
      <c r="D30" s="53">
        <f>1/(1+D25)^1</f>
        <v>0.970873786407767</v>
      </c>
    </row>
    <row r="31" spans="1:7" x14ac:dyDescent="0.25">
      <c r="A31" s="33"/>
    </row>
    <row r="32" spans="1:7" x14ac:dyDescent="0.25">
      <c r="A32" s="35" t="s">
        <v>74</v>
      </c>
      <c r="B32" s="5"/>
      <c r="C32" s="5"/>
      <c r="D32" s="54" t="s">
        <v>75</v>
      </c>
      <c r="E32" s="54" t="s">
        <v>76</v>
      </c>
      <c r="F32" s="54" t="s">
        <v>77</v>
      </c>
      <c r="G32" s="54" t="s">
        <v>78</v>
      </c>
    </row>
    <row r="33" spans="1:7" x14ac:dyDescent="0.25">
      <c r="A33" s="33" t="s">
        <v>79</v>
      </c>
      <c r="D33" s="41">
        <f>D14*D28</f>
        <v>242.71844660194176</v>
      </c>
      <c r="E33" s="41">
        <f>E14*E28</f>
        <v>233.37767509160076</v>
      </c>
      <c r="F33" s="41">
        <f>F14*F28</f>
        <v>222.24908966772873</v>
      </c>
      <c r="G33" s="40">
        <f>SUM(D33:F33)</f>
        <v>698.34521136127125</v>
      </c>
    </row>
    <row r="34" spans="1:7" x14ac:dyDescent="0.25">
      <c r="A34" s="33" t="s">
        <v>178</v>
      </c>
      <c r="E34" s="41">
        <f>E14*D29</f>
        <v>242.71844660194176</v>
      </c>
      <c r="F34" s="41">
        <f>F14*E29</f>
        <v>233.37767509160076</v>
      </c>
      <c r="G34" s="40">
        <f>SUM(E34:F34)</f>
        <v>476.0961216935425</v>
      </c>
    </row>
    <row r="35" spans="1:7" x14ac:dyDescent="0.25">
      <c r="A35" s="33" t="s">
        <v>179</v>
      </c>
      <c r="F35" s="41">
        <f>F14*D30</f>
        <v>242.71844660194176</v>
      </c>
      <c r="G35" s="40">
        <f>F35</f>
        <v>242.71844660194176</v>
      </c>
    </row>
    <row r="36" spans="1:7" x14ac:dyDescent="0.25">
      <c r="A36" s="33" t="s">
        <v>212</v>
      </c>
      <c r="G36" s="40">
        <v>0</v>
      </c>
    </row>
    <row r="38" spans="1:7" x14ac:dyDescent="0.25">
      <c r="A38" s="33" t="s">
        <v>180</v>
      </c>
      <c r="E38" s="41">
        <f>E14*D28</f>
        <v>242.71844660194176</v>
      </c>
      <c r="F38" s="41">
        <f>F14*E28</f>
        <v>233.37767509160076</v>
      </c>
      <c r="G38" s="40">
        <f>SUM(E38:F38)</f>
        <v>476.0961216935425</v>
      </c>
    </row>
    <row r="39" spans="1:7" x14ac:dyDescent="0.25">
      <c r="A39" s="33" t="s">
        <v>181</v>
      </c>
      <c r="F39" s="41">
        <f>F14*D28</f>
        <v>242.71844660194176</v>
      </c>
      <c r="G39" s="40">
        <f>F39</f>
        <v>242.71844660194176</v>
      </c>
    </row>
    <row r="41" spans="1:7" x14ac:dyDescent="0.25">
      <c r="A41" s="35" t="s">
        <v>80</v>
      </c>
      <c r="B41" s="5"/>
      <c r="C41" s="5"/>
      <c r="D41" s="43">
        <v>46022</v>
      </c>
      <c r="E41" s="43">
        <v>46387</v>
      </c>
      <c r="F41" s="43">
        <v>46752</v>
      </c>
    </row>
    <row r="42" spans="1:7" x14ac:dyDescent="0.25">
      <c r="A42" s="33" t="s">
        <v>81</v>
      </c>
      <c r="D42" s="41">
        <f>G33</f>
        <v>698.34521136127125</v>
      </c>
      <c r="E42" s="41">
        <f>G34</f>
        <v>476.0961216935425</v>
      </c>
      <c r="F42" s="41">
        <f>G35</f>
        <v>242.71844660194176</v>
      </c>
    </row>
    <row r="43" spans="1:7" x14ac:dyDescent="0.25">
      <c r="A43" s="33" t="s">
        <v>82</v>
      </c>
      <c r="D43" s="41">
        <f>-D14</f>
        <v>-250</v>
      </c>
      <c r="E43" s="41">
        <f>-E14</f>
        <v>-250</v>
      </c>
      <c r="F43" s="41">
        <f>-F14</f>
        <v>-250</v>
      </c>
    </row>
    <row r="44" spans="1:7" x14ac:dyDescent="0.25">
      <c r="A44" s="33" t="s">
        <v>83</v>
      </c>
      <c r="D44" s="41">
        <f>G38-(G33-D14)</f>
        <v>27.750910332271246</v>
      </c>
      <c r="E44" s="41">
        <f>G39-(G34-E14)</f>
        <v>16.622324908399264</v>
      </c>
      <c r="F44" s="41">
        <f>G36-(G35-F14)</f>
        <v>7.2815533980582359</v>
      </c>
    </row>
    <row r="45" spans="1:7" x14ac:dyDescent="0.25">
      <c r="A45" s="33" t="s">
        <v>84</v>
      </c>
      <c r="D45" s="41">
        <f>G34-G38</f>
        <v>0</v>
      </c>
      <c r="E45" s="41">
        <f>G35-G39</f>
        <v>0</v>
      </c>
      <c r="F45" s="41">
        <v>0</v>
      </c>
    </row>
    <row r="46" spans="1:7" x14ac:dyDescent="0.25">
      <c r="A46" s="33" t="s">
        <v>85</v>
      </c>
      <c r="D46" s="40">
        <f>SUM(D42:D45)</f>
        <v>476.0961216935425</v>
      </c>
      <c r="E46" s="40">
        <f>SUM(E42:E45)</f>
        <v>242.71844660194176</v>
      </c>
      <c r="F46" s="40">
        <f>SUM(F42:F45)</f>
        <v>0</v>
      </c>
    </row>
    <row r="47" spans="1:7" x14ac:dyDescent="0.25">
      <c r="A47" s="55" t="s">
        <v>86</v>
      </c>
      <c r="D47" s="33" t="str">
        <f>IF(ABS(D46-G34)&lt;0.01,"✅","❌")</f>
        <v>✅</v>
      </c>
      <c r="E47" s="33" t="str">
        <f>IF(ABS(E46-G35)&lt;0.01,"✅","❌")</f>
        <v>✅</v>
      </c>
      <c r="F47" s="33" t="str">
        <f>IF(ABS(F46-G36)&lt;0.01,"✅","❌")</f>
        <v>✅</v>
      </c>
    </row>
    <row r="49" spans="1:6" x14ac:dyDescent="0.25">
      <c r="A49" s="35" t="s">
        <v>87</v>
      </c>
      <c r="B49" s="5"/>
      <c r="C49" s="5"/>
      <c r="D49" s="5"/>
      <c r="E49" s="5"/>
      <c r="F49" s="5"/>
    </row>
    <row r="50" spans="1:6" x14ac:dyDescent="0.25">
      <c r="A50" s="33" t="s">
        <v>88</v>
      </c>
      <c r="C50" s="41">
        <f>C15</f>
        <v>90</v>
      </c>
    </row>
    <row r="51" spans="1:6" x14ac:dyDescent="0.25">
      <c r="A51" s="33" t="s">
        <v>89</v>
      </c>
      <c r="C51" s="41">
        <f>C50/C8</f>
        <v>30</v>
      </c>
    </row>
    <row r="53" spans="1:6" x14ac:dyDescent="0.25">
      <c r="A53" s="35" t="s">
        <v>90</v>
      </c>
      <c r="B53" s="5"/>
      <c r="C53" s="5"/>
      <c r="D53" s="5"/>
    </row>
    <row r="54" spans="1:6" x14ac:dyDescent="0.25">
      <c r="A54" s="33" t="s">
        <v>91</v>
      </c>
      <c r="C54" s="41">
        <f>G33</f>
        <v>698.34521136127125</v>
      </c>
    </row>
    <row r="55" spans="1:6" x14ac:dyDescent="0.25">
      <c r="A55" s="33" t="s">
        <v>11</v>
      </c>
      <c r="C55" s="41">
        <f>C50</f>
        <v>90</v>
      </c>
    </row>
    <row r="56" spans="1:6" x14ac:dyDescent="0.25">
      <c r="A56" s="33" t="s">
        <v>53</v>
      </c>
      <c r="C56" s="40">
        <f>C54+C55</f>
        <v>788.34521136127125</v>
      </c>
    </row>
    <row r="57" spans="1:6" x14ac:dyDescent="0.25">
      <c r="A57" s="33" t="s">
        <v>12</v>
      </c>
      <c r="C57" s="40">
        <f>C9-C56</f>
        <v>211.65478863872875</v>
      </c>
    </row>
    <row r="58" spans="1:6" x14ac:dyDescent="0.25">
      <c r="A58" s="33" t="s">
        <v>13</v>
      </c>
      <c r="C58" s="40">
        <f>C56+C57</f>
        <v>1000</v>
      </c>
    </row>
    <row r="60" spans="1:6" x14ac:dyDescent="0.25">
      <c r="A60" s="35" t="s">
        <v>92</v>
      </c>
      <c r="B60" s="5"/>
      <c r="C60" s="5"/>
      <c r="D60" s="43">
        <v>46022</v>
      </c>
      <c r="E60" s="43">
        <v>46387</v>
      </c>
      <c r="F60" s="43">
        <v>46752</v>
      </c>
    </row>
    <row r="61" spans="1:6" x14ac:dyDescent="0.25">
      <c r="A61" s="33" t="s">
        <v>93</v>
      </c>
      <c r="D61" s="41">
        <f>C57</f>
        <v>211.65478863872875</v>
      </c>
      <c r="E61" s="41">
        <f>D65</f>
        <v>145.33628819859376</v>
      </c>
      <c r="F61" s="41">
        <f>E65</f>
        <v>74.848188422275783</v>
      </c>
    </row>
    <row r="62" spans="1:6" x14ac:dyDescent="0.25">
      <c r="A62" s="33" t="s">
        <v>94</v>
      </c>
      <c r="D62" s="41">
        <f>D61*D23</f>
        <v>6.3496436591618624</v>
      </c>
      <c r="E62" s="41">
        <f>E61*D23</f>
        <v>4.3600886459578128</v>
      </c>
      <c r="F62" s="41">
        <f>F61*D23</f>
        <v>2.2454456526682733</v>
      </c>
    </row>
    <row r="63" spans="1:6" x14ac:dyDescent="0.25">
      <c r="A63" s="56" t="s">
        <v>101</v>
      </c>
      <c r="D63" s="57">
        <v>0</v>
      </c>
      <c r="E63" s="57">
        <v>0</v>
      </c>
      <c r="F63" s="57">
        <v>0</v>
      </c>
    </row>
    <row r="64" spans="1:6" x14ac:dyDescent="0.25">
      <c r="A64" s="33" t="s">
        <v>95</v>
      </c>
      <c r="D64" s="41">
        <f>-(D61+D62+D63)/C8</f>
        <v>-72.668144099296867</v>
      </c>
      <c r="E64" s="41">
        <f>-(E61+E62+E63)/2</f>
        <v>-74.848188422275783</v>
      </c>
      <c r="F64" s="41">
        <f>-(F61+F62+F63)/1</f>
        <v>-77.093634074944049</v>
      </c>
    </row>
    <row r="65" spans="1:6" x14ac:dyDescent="0.25">
      <c r="A65" s="33" t="s">
        <v>96</v>
      </c>
      <c r="D65" s="40">
        <f>SUM(D61:D64)</f>
        <v>145.33628819859376</v>
      </c>
      <c r="E65" s="40">
        <f>SUM(E61:E64)</f>
        <v>74.848188422275783</v>
      </c>
      <c r="F65" s="40">
        <f>SUM(F61:F64)</f>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0F13-2EA7-40E7-92D9-631094324DAC}">
  <dimension ref="A1:E42"/>
  <sheetViews>
    <sheetView workbookViewId="0"/>
    <sheetView workbookViewId="1">
      <selection activeCell="G17" sqref="G17"/>
    </sheetView>
  </sheetViews>
  <sheetFormatPr defaultRowHeight="15" x14ac:dyDescent="0.25"/>
  <cols>
    <col min="1" max="1" width="53.28515625" customWidth="1"/>
    <col min="3" max="5" width="19" customWidth="1"/>
  </cols>
  <sheetData>
    <row r="1" spans="1:5" ht="18.75" x14ac:dyDescent="0.3">
      <c r="A1" s="31" t="s">
        <v>35</v>
      </c>
    </row>
    <row r="2" spans="1:5" x14ac:dyDescent="0.25">
      <c r="A2" s="32" t="s">
        <v>182</v>
      </c>
    </row>
    <row r="4" spans="1:5" x14ac:dyDescent="0.25">
      <c r="C4" s="43">
        <v>46022</v>
      </c>
      <c r="D4" s="43">
        <v>46387</v>
      </c>
      <c r="E4" s="43">
        <v>46752</v>
      </c>
    </row>
    <row r="5" spans="1:5" x14ac:dyDescent="0.25">
      <c r="A5" s="34" t="s">
        <v>36</v>
      </c>
    </row>
    <row r="6" spans="1:5" x14ac:dyDescent="0.25">
      <c r="A6" s="33" t="s">
        <v>175</v>
      </c>
      <c r="C6" s="41">
        <f>'Assumptions (v4a)'!D12</f>
        <v>200</v>
      </c>
      <c r="D6" s="41">
        <f>'Assumptions (v4a)'!E12</f>
        <v>200</v>
      </c>
      <c r="E6" s="41">
        <f>'Assumptions (v4a)'!F12</f>
        <v>200</v>
      </c>
    </row>
    <row r="7" spans="1:5" x14ac:dyDescent="0.25">
      <c r="A7" s="33" t="s">
        <v>176</v>
      </c>
      <c r="C7" s="41">
        <f>'Assumptions (v4a)'!D13</f>
        <v>50</v>
      </c>
      <c r="D7" s="41">
        <f>'Assumptions (v4a)'!E13</f>
        <v>50</v>
      </c>
      <c r="E7" s="41">
        <f>'Assumptions (v4a)'!F13</f>
        <v>50</v>
      </c>
    </row>
    <row r="8" spans="1:5" x14ac:dyDescent="0.25">
      <c r="A8" s="33" t="s">
        <v>37</v>
      </c>
      <c r="C8" s="41">
        <f>'Assumptions (v4a)'!C51</f>
        <v>30</v>
      </c>
      <c r="D8" s="41">
        <f>'Assumptions (v4a)'!C51</f>
        <v>30</v>
      </c>
      <c r="E8" s="41">
        <f>'Assumptions (v4a)'!C51</f>
        <v>30</v>
      </c>
    </row>
    <row r="9" spans="1:5" x14ac:dyDescent="0.25">
      <c r="A9" s="33" t="s">
        <v>38</v>
      </c>
      <c r="C9" s="41">
        <f>-'Assumptions (v4a)'!D64</f>
        <v>72.668144099296867</v>
      </c>
      <c r="D9" s="41">
        <f>-'Assumptions (v4a)'!E64</f>
        <v>74.848188422275783</v>
      </c>
      <c r="E9" s="41">
        <f>-'Assumptions (v4a)'!F64</f>
        <v>77.093634074944049</v>
      </c>
    </row>
    <row r="11" spans="1:5" x14ac:dyDescent="0.25">
      <c r="A11" s="34" t="s">
        <v>39</v>
      </c>
      <c r="C11" s="40">
        <f>SUM(C6:C9)</f>
        <v>352.66814409929685</v>
      </c>
      <c r="D11" s="40">
        <f>SUM(D6:D9)</f>
        <v>354.84818842227577</v>
      </c>
      <c r="E11" s="40">
        <f>SUM(E6:E9)</f>
        <v>357.09363407494402</v>
      </c>
    </row>
    <row r="13" spans="1:5" x14ac:dyDescent="0.25">
      <c r="A13" s="34" t="s">
        <v>40</v>
      </c>
    </row>
    <row r="14" spans="1:5" x14ac:dyDescent="0.25">
      <c r="A14" s="33" t="s">
        <v>41</v>
      </c>
      <c r="C14" s="41">
        <f>'Assumptions (v4a)'!D18</f>
        <v>250</v>
      </c>
      <c r="D14" s="41">
        <f>'Assumptions (v4a)'!E18</f>
        <v>250</v>
      </c>
      <c r="E14" s="41">
        <f>'Assumptions (v4a)'!F18</f>
        <v>250</v>
      </c>
    </row>
    <row r="15" spans="1:5" x14ac:dyDescent="0.25">
      <c r="A15" t="s">
        <v>42</v>
      </c>
      <c r="C15" s="41">
        <f>'Assumptions (v4a)'!D19</f>
        <v>50</v>
      </c>
      <c r="D15" s="41">
        <f>'Assumptions (v4a)'!E19</f>
        <v>50</v>
      </c>
      <c r="E15" s="41">
        <f>'Assumptions (v4a)'!F19</f>
        <v>50</v>
      </c>
    </row>
    <row r="17" spans="1:5" x14ac:dyDescent="0.25">
      <c r="A17" s="34" t="s">
        <v>43</v>
      </c>
      <c r="C17" s="40">
        <f>-(C14+C15)</f>
        <v>-300</v>
      </c>
      <c r="D17" s="40">
        <f>-(D14+D15)</f>
        <v>-300</v>
      </c>
      <c r="E17" s="40">
        <f>-(E14+E15)</f>
        <v>-300</v>
      </c>
    </row>
    <row r="19" spans="1:5" x14ac:dyDescent="0.25">
      <c r="A19" s="58" t="s">
        <v>44</v>
      </c>
      <c r="B19" s="18"/>
      <c r="C19" s="59">
        <f>C11+C17</f>
        <v>52.668144099296853</v>
      </c>
      <c r="D19" s="59">
        <f>D11+D17</f>
        <v>54.848188422275769</v>
      </c>
      <c r="E19" s="59">
        <f>E11+E17</f>
        <v>57.093634074944021</v>
      </c>
    </row>
    <row r="21" spans="1:5" x14ac:dyDescent="0.25">
      <c r="A21" s="34" t="s">
        <v>97</v>
      </c>
    </row>
    <row r="22" spans="1:5" x14ac:dyDescent="0.25">
      <c r="A22" s="33" t="s">
        <v>98</v>
      </c>
      <c r="C22" s="41">
        <f>-'Assumptions (v4a)'!D44</f>
        <v>-27.750910332271246</v>
      </c>
      <c r="D22" s="41">
        <f>-'Assumptions (v4a)'!E44</f>
        <v>-16.622324908399264</v>
      </c>
      <c r="E22" s="41">
        <f>-'Assumptions (v4a)'!F44</f>
        <v>-7.2815533980582359</v>
      </c>
    </row>
    <row r="23" spans="1:5" x14ac:dyDescent="0.25">
      <c r="A23" s="33" t="s">
        <v>84</v>
      </c>
      <c r="C23" s="41">
        <f>-'Assumptions (v4a)'!D45</f>
        <v>0</v>
      </c>
      <c r="D23" s="41">
        <f>-'Assumptions (v4a)'!E45</f>
        <v>0</v>
      </c>
      <c r="E23" s="41">
        <f>-'Assumptions (v4a)'!F45</f>
        <v>0</v>
      </c>
    </row>
    <row r="24" spans="1:5" x14ac:dyDescent="0.25">
      <c r="A24" s="33" t="s">
        <v>102</v>
      </c>
      <c r="C24" s="41">
        <f>-'Assumptions (v4a)'!D62</f>
        <v>-6.3496436591618624</v>
      </c>
      <c r="D24" s="41">
        <f>-'Assumptions (v4a)'!E62</f>
        <v>-4.3600886459578128</v>
      </c>
      <c r="E24" s="41">
        <f>-'Assumptions (v4a)'!F62</f>
        <v>-2.2454456526682733</v>
      </c>
    </row>
    <row r="25" spans="1:5" x14ac:dyDescent="0.25">
      <c r="A25" s="34" t="s">
        <v>99</v>
      </c>
      <c r="C25" s="40">
        <f>SUM(C22:C24)</f>
        <v>-34.10055399143311</v>
      </c>
      <c r="D25" s="40">
        <f>SUM(D22:D24)</f>
        <v>-20.982413554357077</v>
      </c>
      <c r="E25" s="40">
        <f>SUM(E22:E24)</f>
        <v>-9.5269990507265092</v>
      </c>
    </row>
    <row r="27" spans="1:5" ht="15.75" thickBot="1" x14ac:dyDescent="0.3">
      <c r="A27" s="90" t="s">
        <v>100</v>
      </c>
      <c r="B27" s="93"/>
      <c r="C27" s="94">
        <f>C19+C25</f>
        <v>18.567590107863744</v>
      </c>
      <c r="D27" s="94">
        <f>D19+D25</f>
        <v>33.865774867918688</v>
      </c>
      <c r="E27" s="94">
        <f>E19+E25</f>
        <v>47.566635024217511</v>
      </c>
    </row>
    <row r="28" spans="1:5" ht="15.75" thickTop="1" x14ac:dyDescent="0.25"/>
    <row r="29" spans="1:5" x14ac:dyDescent="0.25">
      <c r="A29" s="34" t="s">
        <v>46</v>
      </c>
      <c r="C29" s="40">
        <f>C27</f>
        <v>18.567590107863744</v>
      </c>
      <c r="D29" s="40">
        <f>C29+D27</f>
        <v>52.433364975782432</v>
      </c>
      <c r="E29" s="40">
        <f>D29+E27</f>
        <v>99.999999999999943</v>
      </c>
    </row>
    <row r="31" spans="1:5" x14ac:dyDescent="0.25">
      <c r="A31" s="15" t="s">
        <v>195</v>
      </c>
    </row>
    <row r="32" spans="1:5" x14ac:dyDescent="0.25">
      <c r="A32" s="97" t="s">
        <v>224</v>
      </c>
    </row>
    <row r="33" spans="1:5" x14ac:dyDescent="0.25">
      <c r="A33" s="98" t="s">
        <v>226</v>
      </c>
    </row>
    <row r="34" spans="1:5" x14ac:dyDescent="0.25">
      <c r="A34" s="98" t="s">
        <v>227</v>
      </c>
    </row>
    <row r="35" spans="1:5" x14ac:dyDescent="0.25">
      <c r="A35" s="98" t="s">
        <v>228</v>
      </c>
    </row>
    <row r="37" spans="1:5" x14ac:dyDescent="0.25">
      <c r="A37" s="86" t="s">
        <v>166</v>
      </c>
    </row>
    <row r="38" spans="1:5" x14ac:dyDescent="0.25">
      <c r="A38" s="45" t="s">
        <v>48</v>
      </c>
    </row>
    <row r="39" spans="1:5" x14ac:dyDescent="0.25">
      <c r="A39" s="89" t="s">
        <v>49</v>
      </c>
      <c r="C39" s="61">
        <f>'Assumptions (v4a)'!D20</f>
        <v>300</v>
      </c>
      <c r="D39" s="61">
        <f>'Assumptions (v4a)'!E20</f>
        <v>300</v>
      </c>
      <c r="E39" s="61">
        <f>'Assumptions (v4a)'!F20</f>
        <v>300</v>
      </c>
    </row>
    <row r="40" spans="1:5" x14ac:dyDescent="0.25">
      <c r="A40" s="56" t="s">
        <v>192</v>
      </c>
    </row>
    <row r="41" spans="1:5" x14ac:dyDescent="0.25">
      <c r="A41" s="56" t="s">
        <v>193</v>
      </c>
    </row>
    <row r="42" spans="1:5" x14ac:dyDescent="0.25">
      <c r="A42" s="56" t="s">
        <v>194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45CF-859E-4BD8-A71B-2B1CDA3ECEB4}">
  <dimension ref="A1:E22"/>
  <sheetViews>
    <sheetView workbookViewId="0"/>
    <sheetView workbookViewId="1">
      <selection activeCell="A19" sqref="A19"/>
    </sheetView>
  </sheetViews>
  <sheetFormatPr defaultRowHeight="15" x14ac:dyDescent="0.25"/>
  <cols>
    <col min="1" max="1" width="53.28515625" customWidth="1"/>
    <col min="2" max="5" width="19" customWidth="1"/>
  </cols>
  <sheetData>
    <row r="1" spans="1:5" ht="18.75" x14ac:dyDescent="0.3">
      <c r="A1" s="31" t="s">
        <v>18</v>
      </c>
    </row>
    <row r="2" spans="1:5" x14ac:dyDescent="0.25">
      <c r="A2" s="32" t="s">
        <v>182</v>
      </c>
    </row>
    <row r="4" spans="1:5" x14ac:dyDescent="0.25">
      <c r="B4" s="43">
        <v>45658</v>
      </c>
      <c r="C4" s="43">
        <v>46022</v>
      </c>
      <c r="D4" s="43">
        <v>46387</v>
      </c>
      <c r="E4" s="43">
        <v>46752</v>
      </c>
    </row>
    <row r="5" spans="1:5" x14ac:dyDescent="0.25">
      <c r="A5" s="34" t="s">
        <v>22</v>
      </c>
    </row>
    <row r="6" spans="1:5" x14ac:dyDescent="0.25">
      <c r="A6" s="33" t="s">
        <v>23</v>
      </c>
      <c r="B6" s="41">
        <f>'Assumptions (v4a)'!C9</f>
        <v>1000</v>
      </c>
      <c r="C6" s="41">
        <f>B6-'P&amp;L (v4a)'!C39</f>
        <v>700</v>
      </c>
      <c r="D6" s="41">
        <f>C6-'P&amp;L (v4a)'!D39</f>
        <v>400</v>
      </c>
      <c r="E6" s="41">
        <f>D6-'P&amp;L (v4a)'!E39</f>
        <v>100</v>
      </c>
    </row>
    <row r="7" spans="1:5" x14ac:dyDescent="0.25">
      <c r="A7" s="34" t="s">
        <v>24</v>
      </c>
      <c r="B7" s="40">
        <f>B6</f>
        <v>1000</v>
      </c>
      <c r="C7" s="40">
        <f>C6</f>
        <v>700</v>
      </c>
      <c r="D7" s="40">
        <f>D6</f>
        <v>400</v>
      </c>
      <c r="E7" s="40">
        <f>E6</f>
        <v>100</v>
      </c>
    </row>
    <row r="9" spans="1:5" x14ac:dyDescent="0.25">
      <c r="A9" s="34" t="s">
        <v>25</v>
      </c>
    </row>
    <row r="10" spans="1:5" x14ac:dyDescent="0.25">
      <c r="A10" s="34" t="s">
        <v>26</v>
      </c>
    </row>
    <row r="11" spans="1:5" x14ac:dyDescent="0.25">
      <c r="A11" s="112" t="s">
        <v>52</v>
      </c>
      <c r="B11" s="41">
        <f>'Assumptions (v4a)'!G33</f>
        <v>698.34521136127125</v>
      </c>
      <c r="C11" s="41">
        <f>'Assumptions (v4a)'!G34</f>
        <v>476.0961216935425</v>
      </c>
      <c r="D11" s="41">
        <f>'Assumptions (v4a)'!G35</f>
        <v>242.71844660194176</v>
      </c>
      <c r="E11" s="41">
        <f>'Assumptions (v4a)'!G36</f>
        <v>0</v>
      </c>
    </row>
    <row r="12" spans="1:5" x14ac:dyDescent="0.25">
      <c r="A12" s="112" t="s">
        <v>27</v>
      </c>
      <c r="B12" s="41">
        <f>'Assumptions (v4a)'!C55</f>
        <v>90</v>
      </c>
      <c r="C12" s="41">
        <f>B12-'P&amp;L (v4a)'!C8</f>
        <v>60</v>
      </c>
      <c r="D12" s="41">
        <f>C12-'P&amp;L (v4a)'!D8</f>
        <v>30</v>
      </c>
      <c r="E12" s="41">
        <f>D12-'P&amp;L (v4a)'!E8</f>
        <v>0</v>
      </c>
    </row>
    <row r="13" spans="1:5" x14ac:dyDescent="0.25">
      <c r="A13" s="34" t="s">
        <v>53</v>
      </c>
      <c r="B13" s="40">
        <f>B11+B12</f>
        <v>788.34521136127125</v>
      </c>
      <c r="C13" s="40">
        <f>C11+C12</f>
        <v>536.0961216935425</v>
      </c>
      <c r="D13" s="40">
        <f>D11+D12</f>
        <v>272.71844660194176</v>
      </c>
      <c r="E13" s="40">
        <f>E11+E12</f>
        <v>0</v>
      </c>
    </row>
    <row r="14" spans="1:5" x14ac:dyDescent="0.25">
      <c r="A14" s="112" t="s">
        <v>28</v>
      </c>
      <c r="B14" s="41">
        <f>'Assumptions (v4a)'!C57</f>
        <v>211.65478863872875</v>
      </c>
      <c r="C14" s="41">
        <f>'Assumptions (v4a)'!D65</f>
        <v>145.33628819859376</v>
      </c>
      <c r="D14" s="41">
        <f>'Assumptions (v4a)'!E65</f>
        <v>74.848188422275783</v>
      </c>
      <c r="E14" s="41">
        <f>'Assumptions (v4a)'!F65</f>
        <v>0</v>
      </c>
    </row>
    <row r="15" spans="1:5" x14ac:dyDescent="0.25">
      <c r="A15" s="34" t="s">
        <v>29</v>
      </c>
      <c r="B15" s="40">
        <f>B13+B14</f>
        <v>1000</v>
      </c>
      <c r="C15" s="40">
        <f>C13+C14</f>
        <v>681.43240989213632</v>
      </c>
      <c r="D15" s="40">
        <f>D13+D14</f>
        <v>347.56663502421753</v>
      </c>
      <c r="E15" s="40">
        <f>E13+E14</f>
        <v>0</v>
      </c>
    </row>
    <row r="16" spans="1:5" x14ac:dyDescent="0.25">
      <c r="A16" s="34" t="s">
        <v>30</v>
      </c>
      <c r="B16" s="40">
        <f>B15</f>
        <v>1000</v>
      </c>
      <c r="C16" s="40">
        <f>C15</f>
        <v>681.43240989213632</v>
      </c>
      <c r="D16" s="40">
        <f>D15</f>
        <v>347.56663502421753</v>
      </c>
      <c r="E16" s="40">
        <f>E15</f>
        <v>0</v>
      </c>
    </row>
    <row r="18" spans="1:5" x14ac:dyDescent="0.25">
      <c r="A18" s="34" t="s">
        <v>31</v>
      </c>
    </row>
    <row r="19" spans="1:5" x14ac:dyDescent="0.25">
      <c r="A19" s="112" t="s">
        <v>32</v>
      </c>
      <c r="B19" s="41">
        <v>0</v>
      </c>
      <c r="C19" s="41">
        <f>B19+'P&amp;L (v4a)'!C27</f>
        <v>18.567590107863744</v>
      </c>
      <c r="D19" s="41">
        <f>C19+'P&amp;L (v4a)'!D27</f>
        <v>52.433364975782432</v>
      </c>
      <c r="E19" s="41">
        <f>D19+'P&amp;L (v4a)'!E27</f>
        <v>99.999999999999943</v>
      </c>
    </row>
    <row r="20" spans="1:5" x14ac:dyDescent="0.25">
      <c r="A20" s="34" t="s">
        <v>33</v>
      </c>
      <c r="B20" s="40">
        <f>B19</f>
        <v>0</v>
      </c>
      <c r="C20" s="40">
        <f>C19</f>
        <v>18.567590107863744</v>
      </c>
      <c r="D20" s="40">
        <f>D19</f>
        <v>52.433364975782432</v>
      </c>
      <c r="E20" s="40">
        <f>E19</f>
        <v>99.999999999999943</v>
      </c>
    </row>
    <row r="22" spans="1:5" x14ac:dyDescent="0.25">
      <c r="A22" s="37" t="s">
        <v>34</v>
      </c>
      <c r="B22" s="33" t="str">
        <f>IF(ABS(B7-B16-B20)&lt;0.01,"✅ Balanced","❌ "&amp;TEXT(B7-B16-B20,"#,##0.00"))</f>
        <v>✅ Balanced</v>
      </c>
      <c r="C22" s="33" t="str">
        <f>IF(ABS(C7-C16-C20)&lt;0.01,"✅ Balanced","❌ "&amp;TEXT(C7-C16-C20,"#,##0.00"))</f>
        <v>✅ Balanced</v>
      </c>
      <c r="D22" s="33" t="str">
        <f>IF(ABS(D7-D16-D20)&lt;0.01,"✅ Balanced","❌ "&amp;TEXT(D7-D16-D20,"#,##0.00"))</f>
        <v>✅ Balanced</v>
      </c>
      <c r="E22" s="33" t="str">
        <f>IF(ABS(E7-E16-E20)&lt;0.01,"✅ Balanced","❌ "&amp;TEXT(E7-E16-E20,"#,##0.00"))</f>
        <v>✅ Balanced</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AFC6-A656-48F1-B26D-4FE5C1935D27}">
  <sheetPr>
    <tabColor theme="3" tint="9.9978637043366805E-2"/>
  </sheetPr>
  <dimension ref="A1"/>
  <sheetViews>
    <sheetView workbookViewId="0"/>
    <sheetView workbookViewId="1"/>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DC347-737E-474C-A6D0-FC0251EF47B9}">
  <dimension ref="A1:G73"/>
  <sheetViews>
    <sheetView workbookViewId="0"/>
    <sheetView workbookViewId="1">
      <selection activeCell="K10" sqref="K10"/>
    </sheetView>
  </sheetViews>
  <sheetFormatPr defaultRowHeight="15" x14ac:dyDescent="0.25"/>
  <cols>
    <col min="1" max="1" width="61" customWidth="1"/>
    <col min="3" max="7" width="17.140625" customWidth="1"/>
  </cols>
  <sheetData>
    <row r="1" spans="1:6" ht="18.75" x14ac:dyDescent="0.3">
      <c r="A1" s="31" t="s">
        <v>183</v>
      </c>
    </row>
    <row r="2" spans="1:6" x14ac:dyDescent="0.25">
      <c r="A2" s="44" t="s">
        <v>103</v>
      </c>
    </row>
    <row r="3" spans="1:6" x14ac:dyDescent="0.25">
      <c r="A3" s="32" t="s">
        <v>116</v>
      </c>
    </row>
    <row r="4" spans="1:6" x14ac:dyDescent="0.25">
      <c r="A4" s="32" t="s">
        <v>117</v>
      </c>
    </row>
    <row r="5" spans="1:6" x14ac:dyDescent="0.25">
      <c r="A5" s="32" t="s">
        <v>118</v>
      </c>
    </row>
    <row r="7" spans="1:6" x14ac:dyDescent="0.25">
      <c r="A7" s="46" t="s">
        <v>55</v>
      </c>
      <c r="B7" s="5"/>
      <c r="C7" s="5"/>
    </row>
    <row r="8" spans="1:6" x14ac:dyDescent="0.25">
      <c r="A8" s="32" t="s">
        <v>1</v>
      </c>
      <c r="C8" s="47">
        <v>3</v>
      </c>
    </row>
    <row r="9" spans="1:6" x14ac:dyDescent="0.25">
      <c r="A9" s="32" t="s">
        <v>6</v>
      </c>
      <c r="C9" s="48">
        <v>1000</v>
      </c>
    </row>
    <row r="11" spans="1:6" x14ac:dyDescent="0.25">
      <c r="A11" s="35" t="s">
        <v>119</v>
      </c>
      <c r="B11" s="5"/>
      <c r="C11" s="36" t="s">
        <v>4</v>
      </c>
      <c r="D11" s="43">
        <v>46022</v>
      </c>
      <c r="E11" s="43">
        <v>46387</v>
      </c>
      <c r="F11" s="43">
        <v>46752</v>
      </c>
    </row>
    <row r="12" spans="1:6" x14ac:dyDescent="0.25">
      <c r="A12" s="33" t="s">
        <v>7</v>
      </c>
      <c r="C12" s="48">
        <v>600</v>
      </c>
      <c r="D12" s="39">
        <f>C12/C8</f>
        <v>200</v>
      </c>
      <c r="E12" s="39">
        <f>C12/C8</f>
        <v>200</v>
      </c>
      <c r="F12" s="39">
        <f>C12/C8</f>
        <v>200</v>
      </c>
    </row>
    <row r="13" spans="1:6" x14ac:dyDescent="0.25">
      <c r="A13" s="33" t="s">
        <v>8</v>
      </c>
      <c r="C13" s="48">
        <v>150</v>
      </c>
      <c r="D13" s="39">
        <f>C13/C8</f>
        <v>50</v>
      </c>
      <c r="E13" s="39">
        <f>C13/C8</f>
        <v>50</v>
      </c>
      <c r="F13" s="39">
        <f>C13/C8</f>
        <v>50</v>
      </c>
    </row>
    <row r="14" spans="1:6" x14ac:dyDescent="0.25">
      <c r="A14" s="34" t="s">
        <v>111</v>
      </c>
      <c r="C14" s="38">
        <f>C12+C13</f>
        <v>750</v>
      </c>
      <c r="D14" s="38">
        <f>D12+D13</f>
        <v>250</v>
      </c>
      <c r="E14" s="38">
        <f>E12+E13</f>
        <v>250</v>
      </c>
      <c r="F14" s="38">
        <f>F12+F13</f>
        <v>250</v>
      </c>
    </row>
    <row r="15" spans="1:6" x14ac:dyDescent="0.25">
      <c r="A15" s="33" t="s">
        <v>58</v>
      </c>
      <c r="C15" s="48">
        <v>90</v>
      </c>
    </row>
    <row r="17" spans="1:6" x14ac:dyDescent="0.25">
      <c r="A17" s="49" t="s">
        <v>120</v>
      </c>
      <c r="B17" s="29"/>
      <c r="C17" s="29"/>
      <c r="D17" s="29"/>
      <c r="E17" s="50">
        <v>46387</v>
      </c>
      <c r="F17" s="50">
        <v>46752</v>
      </c>
    </row>
    <row r="18" spans="1:6" x14ac:dyDescent="0.25">
      <c r="A18" s="33" t="s">
        <v>121</v>
      </c>
      <c r="E18" s="48">
        <v>250</v>
      </c>
      <c r="F18" s="48">
        <v>250</v>
      </c>
    </row>
    <row r="19" spans="1:6" x14ac:dyDescent="0.25">
      <c r="A19" s="33" t="s">
        <v>122</v>
      </c>
      <c r="E19" s="39">
        <f>E13</f>
        <v>50</v>
      </c>
      <c r="F19" s="39">
        <f>F13</f>
        <v>50</v>
      </c>
    </row>
    <row r="20" spans="1:6" x14ac:dyDescent="0.25">
      <c r="A20" s="34" t="s">
        <v>123</v>
      </c>
      <c r="E20" s="38">
        <f>E18+E19</f>
        <v>300</v>
      </c>
      <c r="F20" s="38">
        <f>F18+F19</f>
        <v>300</v>
      </c>
    </row>
    <row r="22" spans="1:6" x14ac:dyDescent="0.25">
      <c r="A22" s="62" t="s">
        <v>112</v>
      </c>
      <c r="B22" s="63"/>
      <c r="C22" s="63"/>
      <c r="D22" s="64">
        <v>46022</v>
      </c>
      <c r="E22" s="64">
        <v>46387</v>
      </c>
      <c r="F22" s="64">
        <v>46752</v>
      </c>
    </row>
    <row r="23" spans="1:6" x14ac:dyDescent="0.25">
      <c r="A23" s="33" t="s">
        <v>113</v>
      </c>
      <c r="D23" s="48">
        <v>250</v>
      </c>
      <c r="E23" s="48">
        <v>250</v>
      </c>
      <c r="F23" s="48">
        <v>250</v>
      </c>
    </row>
    <row r="24" spans="1:6" x14ac:dyDescent="0.25">
      <c r="A24" s="33" t="s">
        <v>114</v>
      </c>
      <c r="D24" s="39">
        <f>D13</f>
        <v>50</v>
      </c>
      <c r="E24" s="39">
        <f>E13</f>
        <v>50</v>
      </c>
      <c r="F24" s="39">
        <f>F13</f>
        <v>50</v>
      </c>
    </row>
    <row r="25" spans="1:6" x14ac:dyDescent="0.25">
      <c r="A25" s="34" t="s">
        <v>115</v>
      </c>
      <c r="D25" s="38">
        <f>D23+D24</f>
        <v>300</v>
      </c>
      <c r="E25" s="38">
        <f>E23+E24</f>
        <v>300</v>
      </c>
      <c r="F25" s="38">
        <f>F23+F24</f>
        <v>300</v>
      </c>
    </row>
    <row r="27" spans="1:6" x14ac:dyDescent="0.25">
      <c r="A27" s="35" t="s">
        <v>59</v>
      </c>
      <c r="B27" s="5"/>
      <c r="C27" s="5"/>
      <c r="D27" s="36" t="s">
        <v>60</v>
      </c>
      <c r="E27" s="36" t="s">
        <v>61</v>
      </c>
      <c r="F27" s="36" t="s">
        <v>62</v>
      </c>
    </row>
    <row r="28" spans="1:6" x14ac:dyDescent="0.25">
      <c r="A28" s="33" t="s">
        <v>63</v>
      </c>
      <c r="D28" s="52">
        <v>0.03</v>
      </c>
      <c r="E28" s="52">
        <v>3.5000000000000003E-2</v>
      </c>
      <c r="F28" s="52">
        <v>0.04</v>
      </c>
    </row>
    <row r="29" spans="1:6" x14ac:dyDescent="0.25">
      <c r="A29" s="33" t="s">
        <v>64</v>
      </c>
      <c r="D29" s="52">
        <v>0.03</v>
      </c>
      <c r="E29" s="52">
        <v>3.5000000000000003E-2</v>
      </c>
    </row>
    <row r="30" spans="1:6" x14ac:dyDescent="0.25">
      <c r="A30" s="33" t="s">
        <v>65</v>
      </c>
      <c r="D30" s="52">
        <v>0.03</v>
      </c>
    </row>
    <row r="32" spans="1:6" x14ac:dyDescent="0.25">
      <c r="A32" s="35" t="s">
        <v>67</v>
      </c>
      <c r="B32" s="5"/>
      <c r="C32" s="5"/>
      <c r="D32" s="36" t="s">
        <v>68</v>
      </c>
      <c r="E32" s="36" t="s">
        <v>69</v>
      </c>
      <c r="F32" s="36" t="s">
        <v>70</v>
      </c>
    </row>
    <row r="33" spans="1:7" x14ac:dyDescent="0.25">
      <c r="A33" s="33" t="s">
        <v>71</v>
      </c>
      <c r="D33" s="53">
        <f>1/(1+D28)^1</f>
        <v>0.970873786407767</v>
      </c>
      <c r="E33" s="53">
        <f>1/(1+E28)^2</f>
        <v>0.93351070036640305</v>
      </c>
      <c r="F33" s="53">
        <f>1/(1+F28)^3</f>
        <v>0.88899635867091487</v>
      </c>
    </row>
    <row r="34" spans="1:7" x14ac:dyDescent="0.25">
      <c r="A34" s="33" t="s">
        <v>72</v>
      </c>
      <c r="D34" s="53">
        <f>1/(1+D29)^1</f>
        <v>0.970873786407767</v>
      </c>
      <c r="E34" s="53">
        <f>1/(1+E29)^2</f>
        <v>0.93351070036640305</v>
      </c>
    </row>
    <row r="35" spans="1:7" x14ac:dyDescent="0.25">
      <c r="A35" s="33" t="s">
        <v>73</v>
      </c>
      <c r="D35" s="53">
        <f>1/(1+D30)^1</f>
        <v>0.970873786407767</v>
      </c>
    </row>
    <row r="37" spans="1:7" x14ac:dyDescent="0.25">
      <c r="A37" s="35" t="s">
        <v>74</v>
      </c>
      <c r="B37" s="5"/>
      <c r="C37" s="5"/>
      <c r="D37" s="54" t="s">
        <v>75</v>
      </c>
      <c r="E37" s="54" t="s">
        <v>76</v>
      </c>
      <c r="F37" s="54" t="s">
        <v>77</v>
      </c>
      <c r="G37" s="54" t="s">
        <v>78</v>
      </c>
    </row>
    <row r="38" spans="1:7" x14ac:dyDescent="0.25">
      <c r="A38" s="33" t="s">
        <v>184</v>
      </c>
      <c r="D38" s="41">
        <f>D14*D33</f>
        <v>242.71844660194176</v>
      </c>
      <c r="E38" s="41">
        <f>E14*E33</f>
        <v>233.37767509160076</v>
      </c>
      <c r="F38" s="41">
        <f>F14*F33</f>
        <v>222.24908966772873</v>
      </c>
      <c r="G38" s="40">
        <f>SUM(D38:F38)</f>
        <v>698.34521136127125</v>
      </c>
    </row>
    <row r="39" spans="1:7" x14ac:dyDescent="0.25">
      <c r="A39" s="33" t="s">
        <v>185</v>
      </c>
      <c r="E39" s="41">
        <f>E14*D34</f>
        <v>242.71844660194176</v>
      </c>
      <c r="F39" s="41">
        <f>F14*E34</f>
        <v>233.37767509160076</v>
      </c>
      <c r="G39" s="40">
        <f>SUM(E39:F39)</f>
        <v>476.0961216935425</v>
      </c>
    </row>
    <row r="40" spans="1:7" x14ac:dyDescent="0.25">
      <c r="A40" s="33" t="s">
        <v>186</v>
      </c>
      <c r="E40" s="41">
        <f>E20*D34</f>
        <v>291.26213592233012</v>
      </c>
      <c r="F40" s="41">
        <f>F20*E34</f>
        <v>280.05321010992094</v>
      </c>
      <c r="G40" s="40">
        <f>SUM(E40:F40)</f>
        <v>571.315346032251</v>
      </c>
    </row>
    <row r="41" spans="1:7" x14ac:dyDescent="0.25">
      <c r="A41" s="33" t="s">
        <v>271</v>
      </c>
      <c r="F41" s="41">
        <f>F20*D35</f>
        <v>291.26213592233012</v>
      </c>
      <c r="G41" s="40">
        <f>F41</f>
        <v>291.26213592233012</v>
      </c>
    </row>
    <row r="42" spans="1:7" x14ac:dyDescent="0.25">
      <c r="A42" s="33" t="s">
        <v>124</v>
      </c>
      <c r="G42" s="40">
        <v>0</v>
      </c>
    </row>
    <row r="43" spans="1:7" x14ac:dyDescent="0.25">
      <c r="A43" s="33"/>
    </row>
    <row r="44" spans="1:7" x14ac:dyDescent="0.25">
      <c r="A44" s="33" t="s">
        <v>187</v>
      </c>
      <c r="E44" s="41">
        <f>E14*D33</f>
        <v>242.71844660194176</v>
      </c>
      <c r="F44" s="41">
        <f>F14*E33</f>
        <v>233.37767509160076</v>
      </c>
      <c r="G44" s="40">
        <f>SUM(E44:F44)</f>
        <v>476.0961216935425</v>
      </c>
    </row>
    <row r="45" spans="1:7" x14ac:dyDescent="0.25">
      <c r="A45" s="33" t="s">
        <v>188</v>
      </c>
      <c r="F45" s="41">
        <f>F20*D33</f>
        <v>291.26213592233012</v>
      </c>
      <c r="G45" s="40">
        <f>F45</f>
        <v>291.26213592233012</v>
      </c>
    </row>
    <row r="47" spans="1:7" x14ac:dyDescent="0.25">
      <c r="A47" s="35" t="s">
        <v>80</v>
      </c>
      <c r="B47" s="5"/>
      <c r="C47" s="5"/>
      <c r="D47" s="43">
        <v>46022</v>
      </c>
      <c r="E47" s="43">
        <v>46387</v>
      </c>
      <c r="F47" s="43">
        <v>46752</v>
      </c>
    </row>
    <row r="48" spans="1:7" x14ac:dyDescent="0.25">
      <c r="A48" s="33" t="s">
        <v>81</v>
      </c>
      <c r="D48" s="41">
        <f>G38</f>
        <v>698.34521136127125</v>
      </c>
      <c r="E48" s="41">
        <f>G40</f>
        <v>571.315346032251</v>
      </c>
      <c r="F48" s="41">
        <f>G41</f>
        <v>291.26213592233012</v>
      </c>
    </row>
    <row r="49" spans="1:6" x14ac:dyDescent="0.25">
      <c r="A49" s="33" t="s">
        <v>125</v>
      </c>
      <c r="D49" s="41">
        <f>-D14</f>
        <v>-250</v>
      </c>
      <c r="E49" s="41">
        <f>-E20</f>
        <v>-300</v>
      </c>
      <c r="F49" s="41">
        <f>-F20</f>
        <v>-300</v>
      </c>
    </row>
    <row r="50" spans="1:6" x14ac:dyDescent="0.25">
      <c r="A50" s="33" t="s">
        <v>83</v>
      </c>
      <c r="D50" s="41">
        <f>G44-(G38-D14)</f>
        <v>27.750910332271246</v>
      </c>
      <c r="E50" s="41">
        <f>G45-(G40-E20)</f>
        <v>19.946789890079117</v>
      </c>
      <c r="F50" s="41">
        <f>G42-(G41-F20)</f>
        <v>8.737864077669883</v>
      </c>
    </row>
    <row r="51" spans="1:6" x14ac:dyDescent="0.25">
      <c r="A51" s="33" t="s">
        <v>84</v>
      </c>
      <c r="D51" s="41">
        <f>G39-G44</f>
        <v>0</v>
      </c>
      <c r="E51" s="41">
        <f>G41-G45</f>
        <v>0</v>
      </c>
      <c r="F51" s="41">
        <v>0</v>
      </c>
    </row>
    <row r="52" spans="1:6" x14ac:dyDescent="0.25">
      <c r="A52" s="49" t="s">
        <v>126</v>
      </c>
      <c r="B52" s="49"/>
      <c r="C52" s="49"/>
      <c r="D52" s="114">
        <f>G40-G39</f>
        <v>95.2192243387085</v>
      </c>
      <c r="E52" s="41">
        <v>0</v>
      </c>
      <c r="F52" s="41">
        <v>0</v>
      </c>
    </row>
    <row r="53" spans="1:6" x14ac:dyDescent="0.25">
      <c r="A53" s="34" t="s">
        <v>85</v>
      </c>
      <c r="D53" s="40">
        <f>SUM(D48:D52)</f>
        <v>571.315346032251</v>
      </c>
      <c r="E53" s="40">
        <f>SUM(E48:E52)</f>
        <v>291.26213592233012</v>
      </c>
      <c r="F53" s="40">
        <f>SUM(F48:F52)</f>
        <v>0</v>
      </c>
    </row>
    <row r="54" spans="1:6" x14ac:dyDescent="0.25">
      <c r="A54" s="55" t="s">
        <v>127</v>
      </c>
      <c r="D54" s="33" t="str">
        <f>IF(ABS(D53-G40)&lt;0.01,"✅","❌")</f>
        <v>✅</v>
      </c>
      <c r="E54" s="33" t="str">
        <f>IF(ABS(E53-G41)&lt;0.01,"✅","❌")</f>
        <v>✅</v>
      </c>
      <c r="F54" s="33" t="str">
        <f>IF(ABS(F53-G42)&lt;0.01,"✅","❌")</f>
        <v>✅</v>
      </c>
    </row>
    <row r="56" spans="1:6" x14ac:dyDescent="0.25">
      <c r="A56" s="35" t="s">
        <v>87</v>
      </c>
      <c r="B56" s="5"/>
      <c r="C56" s="5"/>
      <c r="D56" s="5"/>
      <c r="E56" s="5"/>
      <c r="F56" s="5"/>
    </row>
    <row r="57" spans="1:6" x14ac:dyDescent="0.25">
      <c r="A57" s="33" t="s">
        <v>88</v>
      </c>
      <c r="C57" s="41">
        <f>C15</f>
        <v>90</v>
      </c>
    </row>
    <row r="58" spans="1:6" x14ac:dyDescent="0.25">
      <c r="A58" s="33" t="s">
        <v>16</v>
      </c>
      <c r="C58" s="41">
        <f>C57/C8</f>
        <v>30</v>
      </c>
    </row>
    <row r="60" spans="1:6" x14ac:dyDescent="0.25">
      <c r="A60" s="35" t="s">
        <v>90</v>
      </c>
      <c r="B60" s="5"/>
      <c r="C60" s="5"/>
      <c r="D60" s="5"/>
    </row>
    <row r="61" spans="1:6" x14ac:dyDescent="0.25">
      <c r="A61" s="33" t="s">
        <v>91</v>
      </c>
      <c r="C61" s="41">
        <f>G38</f>
        <v>698.34521136127125</v>
      </c>
    </row>
    <row r="62" spans="1:6" x14ac:dyDescent="0.25">
      <c r="A62" s="33" t="s">
        <v>11</v>
      </c>
      <c r="C62" s="41">
        <f>C57</f>
        <v>90</v>
      </c>
    </row>
    <row r="63" spans="1:6" x14ac:dyDescent="0.25">
      <c r="A63" s="33" t="s">
        <v>53</v>
      </c>
      <c r="C63" s="40">
        <f>C61+C62</f>
        <v>788.34521136127125</v>
      </c>
    </row>
    <row r="64" spans="1:6" x14ac:dyDescent="0.25">
      <c r="A64" s="33" t="s">
        <v>12</v>
      </c>
      <c r="C64" s="40">
        <f>C9-C63</f>
        <v>211.65478863872875</v>
      </c>
    </row>
    <row r="65" spans="1:6" x14ac:dyDescent="0.25">
      <c r="A65" s="33" t="s">
        <v>13</v>
      </c>
      <c r="C65" s="40">
        <f>C63+C64</f>
        <v>1000</v>
      </c>
    </row>
    <row r="67" spans="1:6" x14ac:dyDescent="0.25">
      <c r="A67" s="35" t="s">
        <v>92</v>
      </c>
      <c r="B67" s="5"/>
      <c r="C67" s="5"/>
      <c r="D67" s="43">
        <v>46022</v>
      </c>
      <c r="E67" s="43">
        <v>46387</v>
      </c>
      <c r="F67" s="43">
        <v>46752</v>
      </c>
    </row>
    <row r="68" spans="1:6" x14ac:dyDescent="0.25">
      <c r="A68" s="33" t="s">
        <v>93</v>
      </c>
      <c r="D68" s="41">
        <f>C64</f>
        <v>211.65478863872875</v>
      </c>
      <c r="E68" s="41">
        <f>D73</f>
        <v>81.856805306121402</v>
      </c>
      <c r="F68" s="41">
        <f>E73</f>
        <v>42.156254732652521</v>
      </c>
    </row>
    <row r="69" spans="1:6" x14ac:dyDescent="0.25">
      <c r="A69" s="33" t="s">
        <v>94</v>
      </c>
      <c r="D69" s="41">
        <f>D68*D28</f>
        <v>6.3496436591618624</v>
      </c>
      <c r="E69" s="41">
        <f>E68*D28</f>
        <v>2.4557041591836422</v>
      </c>
      <c r="F69" s="41">
        <f>F68*D28</f>
        <v>1.2646876419795756</v>
      </c>
    </row>
    <row r="70" spans="1:6" x14ac:dyDescent="0.25">
      <c r="A70" s="49" t="s">
        <v>128</v>
      </c>
      <c r="B70" s="49"/>
      <c r="C70" s="49"/>
      <c r="D70" s="60">
        <f>-D52</f>
        <v>-95.2192243387085</v>
      </c>
      <c r="E70" s="41">
        <v>0</v>
      </c>
      <c r="F70" s="41">
        <v>0</v>
      </c>
    </row>
    <row r="71" spans="1:6" x14ac:dyDescent="0.25">
      <c r="A71" s="33" t="s">
        <v>95</v>
      </c>
      <c r="D71" s="41">
        <f>-(D68+D69+D70)/C8</f>
        <v>-40.928402653060708</v>
      </c>
      <c r="E71" s="41">
        <f>-(E68+E69+E70)/2</f>
        <v>-42.156254732652521</v>
      </c>
      <c r="F71" s="41">
        <f>-(F68+F69+F70)/1</f>
        <v>-43.420942374632098</v>
      </c>
    </row>
    <row r="73" spans="1:6" x14ac:dyDescent="0.25">
      <c r="A73" s="34" t="s">
        <v>96</v>
      </c>
      <c r="D73" s="40">
        <f>SUM(D68:D71)</f>
        <v>81.856805306121402</v>
      </c>
      <c r="E73" s="40">
        <f>SUM(E68:E71)</f>
        <v>42.156254732652521</v>
      </c>
      <c r="F73" s="40">
        <f>SUM(F68:F71)</f>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7B9A-B149-4CA5-B9D4-79FE6641C402}">
  <dimension ref="A1:E42"/>
  <sheetViews>
    <sheetView workbookViewId="0"/>
    <sheetView workbookViewId="1"/>
  </sheetViews>
  <sheetFormatPr defaultRowHeight="15" x14ac:dyDescent="0.25"/>
  <cols>
    <col min="1" max="1" width="53.28515625" customWidth="1"/>
    <col min="3" max="5" width="19" customWidth="1"/>
  </cols>
  <sheetData>
    <row r="1" spans="1:5" ht="18.75" x14ac:dyDescent="0.3">
      <c r="A1" s="31" t="s">
        <v>35</v>
      </c>
    </row>
    <row r="2" spans="1:5" x14ac:dyDescent="0.25">
      <c r="A2" s="32" t="s">
        <v>183</v>
      </c>
    </row>
    <row r="4" spans="1:5" x14ac:dyDescent="0.25">
      <c r="C4" s="43">
        <v>46022</v>
      </c>
      <c r="D4" s="43">
        <v>46387</v>
      </c>
      <c r="E4" s="43">
        <v>46752</v>
      </c>
    </row>
    <row r="5" spans="1:5" x14ac:dyDescent="0.25">
      <c r="A5" s="34" t="s">
        <v>36</v>
      </c>
    </row>
    <row r="6" spans="1:5" x14ac:dyDescent="0.25">
      <c r="A6" s="33" t="s">
        <v>175</v>
      </c>
      <c r="C6" s="41">
        <f>'Assumptions (v4b)'!D12</f>
        <v>200</v>
      </c>
      <c r="D6" s="41">
        <f>'Assumptions (v4b)'!E18</f>
        <v>250</v>
      </c>
      <c r="E6" s="41">
        <f>'Assumptions (v4b)'!F18</f>
        <v>250</v>
      </c>
    </row>
    <row r="7" spans="1:5" x14ac:dyDescent="0.25">
      <c r="A7" s="33" t="s">
        <v>176</v>
      </c>
      <c r="C7" s="41">
        <f>'Assumptions (v4b)'!D13</f>
        <v>50</v>
      </c>
      <c r="D7" s="41">
        <f>'Assumptions (v4b)'!E19</f>
        <v>50</v>
      </c>
      <c r="E7" s="41">
        <f>'Assumptions (v4b)'!F19</f>
        <v>50</v>
      </c>
    </row>
    <row r="8" spans="1:5" x14ac:dyDescent="0.25">
      <c r="A8" s="33" t="s">
        <v>37</v>
      </c>
      <c r="C8" s="41">
        <f>'Assumptions (v4b)'!C58</f>
        <v>30</v>
      </c>
      <c r="D8" s="41">
        <f>'Assumptions (v4b)'!C58</f>
        <v>30</v>
      </c>
      <c r="E8" s="41">
        <f>'Assumptions (v4b)'!C58</f>
        <v>30</v>
      </c>
    </row>
    <row r="9" spans="1:5" x14ac:dyDescent="0.25">
      <c r="A9" s="33" t="s">
        <v>38</v>
      </c>
      <c r="C9" s="41">
        <f>-'Assumptions (v4b)'!D71</f>
        <v>40.928402653060708</v>
      </c>
      <c r="D9" s="41">
        <f>-'Assumptions (v4b)'!E71</f>
        <v>42.156254732652521</v>
      </c>
      <c r="E9" s="41">
        <f>-'Assumptions (v4b)'!F71</f>
        <v>43.420942374632098</v>
      </c>
    </row>
    <row r="11" spans="1:5" x14ac:dyDescent="0.25">
      <c r="A11" s="34" t="s">
        <v>39</v>
      </c>
      <c r="C11" s="40">
        <f>SUM(C6:C9)</f>
        <v>320.92840265306069</v>
      </c>
      <c r="D11" s="40">
        <f>SUM(D6:D9)</f>
        <v>372.15625473265254</v>
      </c>
      <c r="E11" s="40">
        <f>SUM(E6:E9)</f>
        <v>373.42094237463209</v>
      </c>
    </row>
    <row r="13" spans="1:5" x14ac:dyDescent="0.25">
      <c r="A13" s="34" t="s">
        <v>40</v>
      </c>
    </row>
    <row r="14" spans="1:5" x14ac:dyDescent="0.25">
      <c r="A14" s="33" t="s">
        <v>41</v>
      </c>
      <c r="C14" s="41">
        <f>'Assumptions (v4b)'!D23</f>
        <v>250</v>
      </c>
      <c r="D14" s="41">
        <f>'Assumptions (v4b)'!E23</f>
        <v>250</v>
      </c>
      <c r="E14" s="41">
        <f>'Assumptions (v4b)'!F23</f>
        <v>250</v>
      </c>
    </row>
    <row r="15" spans="1:5" x14ac:dyDescent="0.25">
      <c r="A15" t="s">
        <v>42</v>
      </c>
      <c r="C15" s="41">
        <f>'Assumptions (v4b)'!D24</f>
        <v>50</v>
      </c>
      <c r="D15" s="41">
        <f>'Assumptions (v4b)'!E24</f>
        <v>50</v>
      </c>
      <c r="E15" s="41">
        <f>'Assumptions (v4b)'!F24</f>
        <v>50</v>
      </c>
    </row>
    <row r="17" spans="1:5" x14ac:dyDescent="0.25">
      <c r="A17" s="34" t="s">
        <v>43</v>
      </c>
      <c r="C17" s="40">
        <f>-(C14+C15)</f>
        <v>-300</v>
      </c>
      <c r="D17" s="40">
        <f>-(D14+D15)</f>
        <v>-300</v>
      </c>
      <c r="E17" s="40">
        <f>-(E14+E15)</f>
        <v>-300</v>
      </c>
    </row>
    <row r="19" spans="1:5" x14ac:dyDescent="0.25">
      <c r="A19" s="58" t="s">
        <v>44</v>
      </c>
      <c r="B19" s="18"/>
      <c r="C19" s="59">
        <f>C11+C17</f>
        <v>20.928402653060687</v>
      </c>
      <c r="D19" s="59">
        <f>D11+D17</f>
        <v>72.156254732652542</v>
      </c>
      <c r="E19" s="59">
        <f>E11+E17</f>
        <v>73.420942374632091</v>
      </c>
    </row>
    <row r="21" spans="1:5" x14ac:dyDescent="0.25">
      <c r="A21" s="34" t="s">
        <v>97</v>
      </c>
    </row>
    <row r="22" spans="1:5" x14ac:dyDescent="0.25">
      <c r="A22" s="33" t="s">
        <v>98</v>
      </c>
      <c r="C22" s="41">
        <f>-'Assumptions (v4b)'!D50</f>
        <v>-27.750910332271246</v>
      </c>
      <c r="D22" s="41">
        <f>-'Assumptions (v4b)'!E50</f>
        <v>-19.946789890079117</v>
      </c>
      <c r="E22" s="41">
        <f>-'Assumptions (v4b)'!F50</f>
        <v>-8.737864077669883</v>
      </c>
    </row>
    <row r="23" spans="1:5" x14ac:dyDescent="0.25">
      <c r="A23" s="33" t="s">
        <v>84</v>
      </c>
      <c r="C23" s="41">
        <f>-'Assumptions (v4b)'!D51</f>
        <v>0</v>
      </c>
      <c r="D23" s="41">
        <f>-'Assumptions (v4b)'!E51</f>
        <v>0</v>
      </c>
      <c r="E23" s="41">
        <f>-'Assumptions (v4b)'!F51</f>
        <v>0</v>
      </c>
    </row>
    <row r="24" spans="1:5" x14ac:dyDescent="0.25">
      <c r="A24" s="33" t="s">
        <v>102</v>
      </c>
      <c r="C24" s="41">
        <f>-'Assumptions (v4b)'!D69</f>
        <v>-6.3496436591618624</v>
      </c>
      <c r="D24" s="41">
        <f>-'Assumptions (v4b)'!E69</f>
        <v>-2.4557041591836422</v>
      </c>
      <c r="E24" s="41">
        <f>-'Assumptions (v4b)'!F69</f>
        <v>-1.2646876419795756</v>
      </c>
    </row>
    <row r="25" spans="1:5" x14ac:dyDescent="0.25">
      <c r="A25" s="34" t="s">
        <v>99</v>
      </c>
      <c r="C25" s="40">
        <f>SUM(C22:C24)</f>
        <v>-34.10055399143311</v>
      </c>
      <c r="D25" s="40">
        <f>SUM(D22:D24)</f>
        <v>-22.40249404926276</v>
      </c>
      <c r="E25" s="40">
        <f>SUM(E22:E24)</f>
        <v>-10.002551719649459</v>
      </c>
    </row>
    <row r="27" spans="1:5" ht="15.75" thickBot="1" x14ac:dyDescent="0.3">
      <c r="A27" s="90" t="s">
        <v>100</v>
      </c>
      <c r="B27" s="93"/>
      <c r="C27" s="94">
        <f>C19+C25</f>
        <v>-13.172151338372423</v>
      </c>
      <c r="D27" s="94">
        <f>D19+D25</f>
        <v>49.753760683389785</v>
      </c>
      <c r="E27" s="94">
        <f>E19+E25</f>
        <v>63.41839065498263</v>
      </c>
    </row>
    <row r="28" spans="1:5" ht="15.75" thickTop="1" x14ac:dyDescent="0.25"/>
    <row r="29" spans="1:5" x14ac:dyDescent="0.25">
      <c r="A29" s="34" t="s">
        <v>46</v>
      </c>
      <c r="C29" s="40">
        <f>C27</f>
        <v>-13.172151338372423</v>
      </c>
      <c r="D29" s="40">
        <f>C29+D27</f>
        <v>36.581609345017363</v>
      </c>
      <c r="E29" s="40">
        <f>D29+E27</f>
        <v>100</v>
      </c>
    </row>
    <row r="31" spans="1:5" x14ac:dyDescent="0.25">
      <c r="A31" s="15" t="s">
        <v>195</v>
      </c>
    </row>
    <row r="32" spans="1:5" x14ac:dyDescent="0.25">
      <c r="A32" s="97" t="s">
        <v>225</v>
      </c>
    </row>
    <row r="33" spans="1:5" x14ac:dyDescent="0.25">
      <c r="A33" s="98" t="s">
        <v>229</v>
      </c>
    </row>
    <row r="34" spans="1:5" x14ac:dyDescent="0.25">
      <c r="A34" s="98" t="s">
        <v>227</v>
      </c>
    </row>
    <row r="35" spans="1:5" x14ac:dyDescent="0.25">
      <c r="A35" s="98" t="s">
        <v>228</v>
      </c>
    </row>
    <row r="37" spans="1:5" x14ac:dyDescent="0.25">
      <c r="A37" s="86" t="s">
        <v>166</v>
      </c>
    </row>
    <row r="38" spans="1:5" x14ac:dyDescent="0.25">
      <c r="A38" s="45" t="s">
        <v>48</v>
      </c>
    </row>
    <row r="39" spans="1:5" x14ac:dyDescent="0.25">
      <c r="A39" s="89" t="s">
        <v>49</v>
      </c>
      <c r="C39" s="61">
        <f>'Assumptions (v4b)'!D25</f>
        <v>300</v>
      </c>
      <c r="D39" s="61">
        <f>'Assumptions (v4b)'!E25</f>
        <v>300</v>
      </c>
      <c r="E39" s="61">
        <f>'Assumptions (v4b)'!F25</f>
        <v>300</v>
      </c>
    </row>
    <row r="40" spans="1:5" x14ac:dyDescent="0.25">
      <c r="A40" s="56" t="s">
        <v>192</v>
      </c>
    </row>
    <row r="41" spans="1:5" x14ac:dyDescent="0.25">
      <c r="A41" s="56" t="s">
        <v>193</v>
      </c>
    </row>
    <row r="42" spans="1:5" x14ac:dyDescent="0.25">
      <c r="A42" s="56" t="s">
        <v>194</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F3AA7-A117-4201-8A27-B539EB9B5052}">
  <dimension ref="A1:F22"/>
  <sheetViews>
    <sheetView workbookViewId="0"/>
    <sheetView workbookViewId="1">
      <selection activeCell="B33" sqref="B33"/>
    </sheetView>
  </sheetViews>
  <sheetFormatPr defaultRowHeight="15" x14ac:dyDescent="0.25"/>
  <cols>
    <col min="1" max="1" width="53.28515625" customWidth="1"/>
    <col min="2" max="5" width="19" customWidth="1"/>
  </cols>
  <sheetData>
    <row r="1" spans="1:5" ht="18.75" x14ac:dyDescent="0.3">
      <c r="A1" s="31" t="s">
        <v>18</v>
      </c>
    </row>
    <row r="2" spans="1:5" x14ac:dyDescent="0.25">
      <c r="A2" s="32" t="s">
        <v>183</v>
      </c>
    </row>
    <row r="4" spans="1:5" x14ac:dyDescent="0.25">
      <c r="B4" s="43">
        <v>45658</v>
      </c>
      <c r="C4" s="43">
        <v>46022</v>
      </c>
      <c r="D4" s="43">
        <v>46387</v>
      </c>
      <c r="E4" s="43">
        <v>46752</v>
      </c>
    </row>
    <row r="5" spans="1:5" x14ac:dyDescent="0.25">
      <c r="A5" s="34" t="s">
        <v>22</v>
      </c>
    </row>
    <row r="6" spans="1:5" x14ac:dyDescent="0.25">
      <c r="A6" s="33" t="s">
        <v>23</v>
      </c>
      <c r="B6" s="41">
        <f>'Assumptions (v4b)'!C9</f>
        <v>1000</v>
      </c>
      <c r="C6" s="41">
        <f>B6-'P&amp;L (v4b)'!C39</f>
        <v>700</v>
      </c>
      <c r="D6" s="41">
        <f>C6-'P&amp;L (v4b)'!D39</f>
        <v>400</v>
      </c>
      <c r="E6" s="41">
        <f>D6-'P&amp;L (v4b)'!E39</f>
        <v>100</v>
      </c>
    </row>
    <row r="7" spans="1:5" x14ac:dyDescent="0.25">
      <c r="A7" s="34" t="s">
        <v>24</v>
      </c>
      <c r="B7" s="40">
        <f>B6</f>
        <v>1000</v>
      </c>
      <c r="C7" s="40">
        <f>C6</f>
        <v>700</v>
      </c>
      <c r="D7" s="40">
        <f>D6</f>
        <v>400</v>
      </c>
      <c r="E7" s="40">
        <f>E6</f>
        <v>100</v>
      </c>
    </row>
    <row r="9" spans="1:5" x14ac:dyDescent="0.25">
      <c r="A9" s="34" t="s">
        <v>25</v>
      </c>
    </row>
    <row r="10" spans="1:5" x14ac:dyDescent="0.25">
      <c r="A10" s="34" t="s">
        <v>26</v>
      </c>
    </row>
    <row r="11" spans="1:5" x14ac:dyDescent="0.25">
      <c r="A11" s="112" t="s">
        <v>52</v>
      </c>
      <c r="B11" s="41">
        <f>'Assumptions (v4b)'!G38</f>
        <v>698.34521136127125</v>
      </c>
      <c r="C11" s="41">
        <f>'Assumptions (v4b)'!G40</f>
        <v>571.315346032251</v>
      </c>
      <c r="D11" s="41">
        <f>'Assumptions (v4b)'!G41</f>
        <v>291.26213592233012</v>
      </c>
      <c r="E11" s="41">
        <f>'Assumptions (v4b)'!G42</f>
        <v>0</v>
      </c>
    </row>
    <row r="12" spans="1:5" x14ac:dyDescent="0.25">
      <c r="A12" s="112" t="s">
        <v>27</v>
      </c>
      <c r="B12" s="41">
        <f>'Assumptions (v4b)'!C62</f>
        <v>90</v>
      </c>
      <c r="C12" s="41">
        <f>B12-'P&amp;L (v4b)'!C8</f>
        <v>60</v>
      </c>
      <c r="D12" s="41">
        <f>C12-'P&amp;L (v4b)'!D8</f>
        <v>30</v>
      </c>
      <c r="E12" s="41">
        <f>D12-'P&amp;L (v4b)'!E8</f>
        <v>0</v>
      </c>
    </row>
    <row r="13" spans="1:5" x14ac:dyDescent="0.25">
      <c r="A13" s="34" t="s">
        <v>53</v>
      </c>
      <c r="B13" s="40">
        <f>B11+B12</f>
        <v>788.34521136127125</v>
      </c>
      <c r="C13" s="40">
        <f>C11+C12</f>
        <v>631.315346032251</v>
      </c>
      <c r="D13" s="40">
        <f>D11+D12</f>
        <v>321.26213592233012</v>
      </c>
      <c r="E13" s="40">
        <f>E11+E12</f>
        <v>0</v>
      </c>
    </row>
    <row r="14" spans="1:5" x14ac:dyDescent="0.25">
      <c r="A14" s="112" t="s">
        <v>28</v>
      </c>
      <c r="B14" s="41">
        <f>'Assumptions (v4b)'!C64</f>
        <v>211.65478863872875</v>
      </c>
      <c r="C14" s="41">
        <f>'Assumptions (v4b)'!D73</f>
        <v>81.856805306121402</v>
      </c>
      <c r="D14" s="41">
        <f>'Assumptions (v4b)'!E73</f>
        <v>42.156254732652521</v>
      </c>
      <c r="E14" s="41">
        <f>'Assumptions (v4b)'!F73</f>
        <v>0</v>
      </c>
    </row>
    <row r="15" spans="1:5" x14ac:dyDescent="0.25">
      <c r="A15" s="34" t="s">
        <v>29</v>
      </c>
      <c r="B15" s="40">
        <f>B13+B14</f>
        <v>1000</v>
      </c>
      <c r="C15" s="40">
        <f>C13+C14</f>
        <v>713.17215133837237</v>
      </c>
      <c r="D15" s="40">
        <f>D13+D14</f>
        <v>363.41839065498266</v>
      </c>
      <c r="E15" s="40">
        <f>E13+E14</f>
        <v>0</v>
      </c>
    </row>
    <row r="16" spans="1:5" x14ac:dyDescent="0.25">
      <c r="A16" s="34" t="s">
        <v>30</v>
      </c>
      <c r="B16" s="40">
        <f>B15</f>
        <v>1000</v>
      </c>
      <c r="C16" s="40">
        <f>C15</f>
        <v>713.17215133837237</v>
      </c>
      <c r="D16" s="40">
        <f>D15</f>
        <v>363.41839065498266</v>
      </c>
      <c r="E16" s="40">
        <f>E15</f>
        <v>0</v>
      </c>
    </row>
    <row r="18" spans="1:6" x14ac:dyDescent="0.25">
      <c r="A18" s="34" t="s">
        <v>31</v>
      </c>
    </row>
    <row r="19" spans="1:6" x14ac:dyDescent="0.25">
      <c r="A19" s="112" t="s">
        <v>32</v>
      </c>
      <c r="B19" s="113">
        <v>0</v>
      </c>
      <c r="C19" s="113">
        <f>B19+'P&amp;L (v4b)'!C27</f>
        <v>-13.172151338372423</v>
      </c>
      <c r="D19" s="113">
        <f>C19+'P&amp;L (v4b)'!D27</f>
        <v>36.581609345017363</v>
      </c>
      <c r="E19" s="113">
        <f>D19+'P&amp;L (v4b)'!E27</f>
        <v>100</v>
      </c>
      <c r="F19" s="112"/>
    </row>
    <row r="20" spans="1:6" x14ac:dyDescent="0.25">
      <c r="A20" s="34" t="s">
        <v>33</v>
      </c>
      <c r="B20" s="40">
        <f>B19</f>
        <v>0</v>
      </c>
      <c r="C20" s="40">
        <f>C19</f>
        <v>-13.172151338372423</v>
      </c>
      <c r="D20" s="40">
        <f>D19</f>
        <v>36.581609345017363</v>
      </c>
      <c r="E20" s="40">
        <f>E19</f>
        <v>100</v>
      </c>
    </row>
    <row r="22" spans="1:6" x14ac:dyDescent="0.25">
      <c r="A22" s="37" t="s">
        <v>34</v>
      </c>
      <c r="B22" t="str">
        <f>IF(ABS(B7-B16-B20)&lt;0.01,"✅ Balanced","❌ "&amp;TEXT(B7-B16-B20,"#,##0.00"))</f>
        <v>✅ Balanced</v>
      </c>
      <c r="C22" t="str">
        <f>IF(ABS(C7-C16-C20)&lt;0.01,"✅ Balanced","❌ "&amp;TEXT(C7-C16-C20,"#,##0.00"))</f>
        <v>✅ Balanced</v>
      </c>
      <c r="D22" t="str">
        <f>IF(ABS(D7-D16-D20)&lt;0.01,"✅ Balanced","❌ "&amp;TEXT(D7-D16-D20,"#,##0.00"))</f>
        <v>✅ Balanced</v>
      </c>
      <c r="E22" t="str">
        <f>IF(ABS(E7-E16-E20)&lt;0.01,"✅ Balanced","❌ "&amp;TEXT(E7-E16-E20,"#,##0.00"))</f>
        <v>✅ Balanced</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85556-6732-4EDA-9B16-41B3D88E8283}">
  <sheetPr>
    <tabColor rgb="FFBF8F00"/>
  </sheetPr>
  <dimension ref="A1"/>
  <sheetViews>
    <sheetView workbookViewId="0"/>
    <sheetView workbookViewId="1"/>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05B8-E032-41F2-B5E7-7C3DE1927F78}">
  <dimension ref="A1:C48"/>
  <sheetViews>
    <sheetView workbookViewId="0"/>
    <sheetView topLeftCell="A3" workbookViewId="1"/>
  </sheetViews>
  <sheetFormatPr defaultRowHeight="15" x14ac:dyDescent="0.25"/>
  <cols>
    <col min="1" max="1" width="53.28515625" customWidth="1"/>
    <col min="2" max="2" width="19" customWidth="1"/>
    <col min="3" max="3" width="28.5703125" customWidth="1"/>
  </cols>
  <sheetData>
    <row r="1" spans="1:3" ht="18.75" x14ac:dyDescent="0.3">
      <c r="A1" s="1" t="s">
        <v>232</v>
      </c>
    </row>
    <row r="2" spans="1:3" x14ac:dyDescent="0.25">
      <c r="A2" s="44" t="s">
        <v>103</v>
      </c>
    </row>
    <row r="3" spans="1:3" x14ac:dyDescent="0.25">
      <c r="A3" s="32" t="s">
        <v>165</v>
      </c>
    </row>
    <row r="4" spans="1:3" x14ac:dyDescent="0.25">
      <c r="A4" s="32" t="s">
        <v>172</v>
      </c>
    </row>
    <row r="5" spans="1:3" x14ac:dyDescent="0.25">
      <c r="A5" s="32" t="s">
        <v>104</v>
      </c>
    </row>
    <row r="6" spans="1:3" x14ac:dyDescent="0.25">
      <c r="A6" s="32" t="s">
        <v>233</v>
      </c>
    </row>
    <row r="7" spans="1:3" x14ac:dyDescent="0.25">
      <c r="A7" s="32" t="s">
        <v>106</v>
      </c>
    </row>
    <row r="9" spans="1:3" x14ac:dyDescent="0.25">
      <c r="A9" s="4" t="s">
        <v>0</v>
      </c>
      <c r="B9" s="5"/>
      <c r="C9" s="5"/>
    </row>
    <row r="10" spans="1:3" x14ac:dyDescent="0.25">
      <c r="A10" t="s">
        <v>1</v>
      </c>
      <c r="B10" s="6">
        <v>3</v>
      </c>
    </row>
    <row r="11" spans="1:3" x14ac:dyDescent="0.25">
      <c r="A11" t="s">
        <v>2</v>
      </c>
      <c r="B11" s="7">
        <v>0</v>
      </c>
      <c r="C11" s="9"/>
    </row>
    <row r="13" spans="1:3" x14ac:dyDescent="0.25">
      <c r="A13" s="4" t="s">
        <v>3</v>
      </c>
      <c r="B13" s="10" t="s">
        <v>4</v>
      </c>
      <c r="C13" s="10" t="s">
        <v>5</v>
      </c>
    </row>
    <row r="14" spans="1:3" x14ac:dyDescent="0.25">
      <c r="A14" t="s">
        <v>6</v>
      </c>
      <c r="B14" s="11">
        <v>1000</v>
      </c>
      <c r="C14" s="9"/>
    </row>
    <row r="15" spans="1:3" x14ac:dyDescent="0.25">
      <c r="A15" t="s">
        <v>7</v>
      </c>
      <c r="B15" s="11">
        <v>600</v>
      </c>
      <c r="C15" s="12">
        <f>B15/B10</f>
        <v>200</v>
      </c>
    </row>
    <row r="16" spans="1:3" x14ac:dyDescent="0.25">
      <c r="A16" t="s">
        <v>8</v>
      </c>
      <c r="B16" s="11">
        <v>150</v>
      </c>
      <c r="C16" s="12">
        <f>B16/B10</f>
        <v>50</v>
      </c>
    </row>
    <row r="17" spans="1:3" x14ac:dyDescent="0.25">
      <c r="A17" t="s">
        <v>9</v>
      </c>
      <c r="B17" s="11">
        <v>90</v>
      </c>
      <c r="C17" s="12">
        <f>B17/B10</f>
        <v>30</v>
      </c>
    </row>
    <row r="19" spans="1:3" x14ac:dyDescent="0.25">
      <c r="A19" s="4" t="s">
        <v>10</v>
      </c>
      <c r="B19" s="5"/>
      <c r="C19" s="5"/>
    </row>
    <row r="20" spans="1:3" x14ac:dyDescent="0.25">
      <c r="A20" t="s">
        <v>51</v>
      </c>
      <c r="B20" s="12">
        <f>B15+B16</f>
        <v>750</v>
      </c>
    </row>
    <row r="21" spans="1:3" x14ac:dyDescent="0.25">
      <c r="A21" t="s">
        <v>11</v>
      </c>
      <c r="B21" s="12">
        <f>B17</f>
        <v>90</v>
      </c>
    </row>
    <row r="22" spans="1:3" x14ac:dyDescent="0.25">
      <c r="A22" t="s">
        <v>12</v>
      </c>
      <c r="B22" s="13">
        <f>B14-B20-B17</f>
        <v>160</v>
      </c>
    </row>
    <row r="23" spans="1:3" ht="15.75" thickBot="1" x14ac:dyDescent="0.3">
      <c r="A23" t="s">
        <v>13</v>
      </c>
      <c r="B23" s="20">
        <f>B20+B21+B22</f>
        <v>1000</v>
      </c>
    </row>
    <row r="24" spans="1:3" ht="15.75" thickTop="1" x14ac:dyDescent="0.25"/>
    <row r="25" spans="1:3" x14ac:dyDescent="0.25">
      <c r="A25" s="4" t="s">
        <v>14</v>
      </c>
      <c r="B25" s="5"/>
    </row>
    <row r="26" spans="1:3" x14ac:dyDescent="0.25">
      <c r="A26" t="s">
        <v>15</v>
      </c>
      <c r="B26" s="14">
        <f>B22/B10</f>
        <v>53.333333333333336</v>
      </c>
    </row>
    <row r="27" spans="1:3" x14ac:dyDescent="0.25">
      <c r="A27" t="s">
        <v>16</v>
      </c>
      <c r="B27" s="14">
        <f>B17/B10</f>
        <v>30</v>
      </c>
    </row>
    <row r="29" spans="1:3" x14ac:dyDescent="0.25">
      <c r="A29" s="3" t="s">
        <v>17</v>
      </c>
    </row>
    <row r="30" spans="1:3" x14ac:dyDescent="0.25">
      <c r="A30" t="s">
        <v>145</v>
      </c>
    </row>
    <row r="31" spans="1:3" x14ac:dyDescent="0.25">
      <c r="A31" s="2" t="s">
        <v>146</v>
      </c>
    </row>
    <row r="32" spans="1:3" x14ac:dyDescent="0.25">
      <c r="A32" t="s">
        <v>147</v>
      </c>
    </row>
    <row r="33" spans="1:3" x14ac:dyDescent="0.25">
      <c r="A33" t="s">
        <v>173</v>
      </c>
    </row>
    <row r="35" spans="1:3" x14ac:dyDescent="0.25">
      <c r="A35" s="4" t="s">
        <v>234</v>
      </c>
      <c r="B35" s="5"/>
      <c r="C35" s="5"/>
    </row>
    <row r="36" spans="1:3" x14ac:dyDescent="0.25">
      <c r="A36" t="s">
        <v>235</v>
      </c>
      <c r="B36" s="99">
        <v>0.8</v>
      </c>
    </row>
    <row r="37" spans="1:3" x14ac:dyDescent="0.25">
      <c r="A37" t="s">
        <v>236</v>
      </c>
      <c r="B37" s="100">
        <f>1-B36</f>
        <v>0.19999999999999996</v>
      </c>
    </row>
    <row r="39" spans="1:3" x14ac:dyDescent="0.25">
      <c r="A39" s="2" t="s">
        <v>237</v>
      </c>
    </row>
    <row r="40" spans="1:3" x14ac:dyDescent="0.25">
      <c r="A40" t="s">
        <v>238</v>
      </c>
      <c r="B40" s="12">
        <f>C15*B36</f>
        <v>160</v>
      </c>
    </row>
    <row r="41" spans="1:3" x14ac:dyDescent="0.25">
      <c r="A41" t="s">
        <v>239</v>
      </c>
      <c r="B41" s="12">
        <f>C15*B37</f>
        <v>39.999999999999993</v>
      </c>
    </row>
    <row r="43" spans="1:3" x14ac:dyDescent="0.25">
      <c r="A43" s="3" t="s">
        <v>240</v>
      </c>
    </row>
    <row r="44" spans="1:3" x14ac:dyDescent="0.25">
      <c r="A44" s="2" t="s">
        <v>241</v>
      </c>
    </row>
    <row r="45" spans="1:3" x14ac:dyDescent="0.25">
      <c r="A45" s="2" t="s">
        <v>242</v>
      </c>
    </row>
    <row r="46" spans="1:3" x14ac:dyDescent="0.25">
      <c r="A46" s="2" t="s">
        <v>243</v>
      </c>
    </row>
    <row r="47" spans="1:3" x14ac:dyDescent="0.25">
      <c r="A47" s="2" t="s">
        <v>244</v>
      </c>
    </row>
    <row r="48" spans="1:3" x14ac:dyDescent="0.25">
      <c r="A48" s="2" t="s">
        <v>245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64CD-96CD-43AB-9DC7-3D5ED0DCC113}">
  <dimension ref="A1:F40"/>
  <sheetViews>
    <sheetView workbookViewId="0">
      <selection activeCell="C48" sqref="C48"/>
    </sheetView>
    <sheetView workbookViewId="1"/>
  </sheetViews>
  <sheetFormatPr defaultRowHeight="15" x14ac:dyDescent="0.25"/>
  <cols>
    <col min="1" max="1" width="53.28515625" customWidth="1"/>
    <col min="2" max="2" width="9.5703125" customWidth="1"/>
    <col min="3" max="5" width="21" customWidth="1"/>
    <col min="6" max="6" width="9.85546875" bestFit="1" customWidth="1"/>
  </cols>
  <sheetData>
    <row r="1" spans="1:6" ht="18.75" x14ac:dyDescent="0.3">
      <c r="A1" s="1" t="s">
        <v>246</v>
      </c>
    </row>
    <row r="2" spans="1:6" x14ac:dyDescent="0.25">
      <c r="A2" s="2" t="s">
        <v>174</v>
      </c>
    </row>
    <row r="4" spans="1:6" x14ac:dyDescent="0.25">
      <c r="C4" s="42">
        <v>46022</v>
      </c>
      <c r="D4" s="42">
        <v>46387</v>
      </c>
      <c r="E4" s="42">
        <v>46752</v>
      </c>
      <c r="F4" s="101">
        <v>47117</v>
      </c>
    </row>
    <row r="5" spans="1:6" x14ac:dyDescent="0.25">
      <c r="A5" s="3" t="s">
        <v>36</v>
      </c>
    </row>
    <row r="6" spans="1:6" x14ac:dyDescent="0.25">
      <c r="A6" t="s">
        <v>175</v>
      </c>
      <c r="C6" s="12">
        <f>'Assumptions (Claim Dev)'!C15</f>
        <v>200</v>
      </c>
      <c r="D6" s="12">
        <f>'Assumptions (Claim Dev)'!C15</f>
        <v>200</v>
      </c>
      <c r="E6" s="12">
        <f>'Assumptions (Claim Dev)'!C15</f>
        <v>200</v>
      </c>
      <c r="F6" s="12">
        <v>0</v>
      </c>
    </row>
    <row r="7" spans="1:6" x14ac:dyDescent="0.25">
      <c r="A7" t="s">
        <v>176</v>
      </c>
      <c r="C7" s="12">
        <f>'Assumptions (Claim Dev)'!C16</f>
        <v>50</v>
      </c>
      <c r="D7" s="12">
        <f>'Assumptions (Claim Dev)'!C16</f>
        <v>50</v>
      </c>
      <c r="E7" s="12">
        <f>'Assumptions (Claim Dev)'!C16</f>
        <v>50</v>
      </c>
      <c r="F7" s="12">
        <v>0</v>
      </c>
    </row>
    <row r="8" spans="1:6" x14ac:dyDescent="0.25">
      <c r="A8" t="s">
        <v>37</v>
      </c>
      <c r="C8" s="14">
        <f>'Assumptions (Claim Dev)'!B27</f>
        <v>30</v>
      </c>
      <c r="D8" s="14">
        <f>'Assumptions (Claim Dev)'!B27</f>
        <v>30</v>
      </c>
      <c r="E8" s="14">
        <f>'Assumptions (Claim Dev)'!B27</f>
        <v>30</v>
      </c>
      <c r="F8" s="14">
        <v>0</v>
      </c>
    </row>
    <row r="9" spans="1:6" x14ac:dyDescent="0.25">
      <c r="A9" t="s">
        <v>38</v>
      </c>
      <c r="C9" s="14">
        <f>'Assumptions (Claim Dev)'!B26</f>
        <v>53.333333333333336</v>
      </c>
      <c r="D9" s="14">
        <f>'Assumptions (Claim Dev)'!B26</f>
        <v>53.333333333333336</v>
      </c>
      <c r="E9" s="14">
        <f>'Assumptions (Claim Dev)'!B26</f>
        <v>53.333333333333336</v>
      </c>
      <c r="F9" s="14">
        <v>0</v>
      </c>
    </row>
    <row r="11" spans="1:6" x14ac:dyDescent="0.25">
      <c r="A11" s="3" t="s">
        <v>39</v>
      </c>
      <c r="C11" s="16">
        <f>SUM(C6:C9)</f>
        <v>333.33333333333331</v>
      </c>
      <c r="D11" s="16">
        <f>SUM(D6:D9)</f>
        <v>333.33333333333331</v>
      </c>
      <c r="E11" s="16">
        <f>SUM(E6:E9)</f>
        <v>333.33333333333331</v>
      </c>
      <c r="F11" s="16">
        <f>SUM(F6:F9)</f>
        <v>0</v>
      </c>
    </row>
    <row r="13" spans="1:6" x14ac:dyDescent="0.25">
      <c r="A13" s="3" t="s">
        <v>40</v>
      </c>
    </row>
    <row r="14" spans="1:6" x14ac:dyDescent="0.25">
      <c r="A14" s="33" t="s">
        <v>41</v>
      </c>
      <c r="C14" s="95">
        <f>'Assumptions (Claim Dev)'!C15</f>
        <v>200</v>
      </c>
      <c r="D14" s="95">
        <f>'Assumptions (Claim Dev)'!C15</f>
        <v>200</v>
      </c>
      <c r="E14" s="95">
        <f>'Assumptions (Claim Dev)'!C15</f>
        <v>200</v>
      </c>
      <c r="F14" s="95">
        <v>0</v>
      </c>
    </row>
    <row r="15" spans="1:6" x14ac:dyDescent="0.25">
      <c r="A15" t="s">
        <v>42</v>
      </c>
      <c r="C15" s="95">
        <f>'Assumptions (Claim Dev)'!C16</f>
        <v>50</v>
      </c>
      <c r="D15" s="95">
        <f>'Assumptions (Claim Dev)'!C16</f>
        <v>50</v>
      </c>
      <c r="E15" s="95">
        <f>'Assumptions (Claim Dev)'!C16</f>
        <v>50</v>
      </c>
      <c r="F15" s="95">
        <v>0</v>
      </c>
    </row>
    <row r="17" spans="1:6" x14ac:dyDescent="0.25">
      <c r="A17" s="3" t="s">
        <v>43</v>
      </c>
      <c r="C17" s="16">
        <f>-(C14+C15)</f>
        <v>-250</v>
      </c>
      <c r="D17" s="16">
        <f>-(D14+D15)</f>
        <v>-250</v>
      </c>
      <c r="E17" s="16">
        <f>-(E14+E15)</f>
        <v>-250</v>
      </c>
      <c r="F17" s="16">
        <f>-(F14+F15)</f>
        <v>0</v>
      </c>
    </row>
    <row r="20" spans="1:6" x14ac:dyDescent="0.25">
      <c r="A20" s="17" t="s">
        <v>44</v>
      </c>
      <c r="B20" s="18"/>
      <c r="C20" s="96">
        <f>C11+C17</f>
        <v>83.333333333333314</v>
      </c>
      <c r="D20" s="96">
        <f>D11+D17</f>
        <v>83.333333333333314</v>
      </c>
      <c r="E20" s="96">
        <f>E11+E17</f>
        <v>83.333333333333314</v>
      </c>
      <c r="F20" s="96">
        <f>F11+F17</f>
        <v>0</v>
      </c>
    </row>
    <row r="22" spans="1:6" ht="15.75" thickBot="1" x14ac:dyDescent="0.3">
      <c r="A22" s="92" t="s">
        <v>45</v>
      </c>
      <c r="B22" s="93"/>
      <c r="C22" s="91">
        <f>C20</f>
        <v>83.333333333333314</v>
      </c>
      <c r="D22" s="91">
        <f>D20</f>
        <v>83.333333333333314</v>
      </c>
      <c r="E22" s="91">
        <f>E20</f>
        <v>83.333333333333314</v>
      </c>
      <c r="F22" s="102">
        <f>F20</f>
        <v>0</v>
      </c>
    </row>
    <row r="23" spans="1:6" ht="15.75" thickTop="1" x14ac:dyDescent="0.25"/>
    <row r="24" spans="1:6" x14ac:dyDescent="0.25">
      <c r="A24" s="3" t="s">
        <v>46</v>
      </c>
      <c r="C24" s="16">
        <f>C22</f>
        <v>83.333333333333314</v>
      </c>
      <c r="D24" s="16">
        <f>C24+D22</f>
        <v>166.66666666666663</v>
      </c>
      <c r="E24" s="16">
        <f>D24+E22</f>
        <v>249.99999999999994</v>
      </c>
      <c r="F24" s="16">
        <f>E24+F22</f>
        <v>249.99999999999994</v>
      </c>
    </row>
    <row r="26" spans="1:6" x14ac:dyDescent="0.25">
      <c r="A26" s="15" t="s">
        <v>195</v>
      </c>
    </row>
    <row r="27" spans="1:6" x14ac:dyDescent="0.25">
      <c r="A27" s="85" t="s">
        <v>255</v>
      </c>
    </row>
    <row r="28" spans="1:6" x14ac:dyDescent="0.25">
      <c r="A28" t="s">
        <v>256</v>
      </c>
    </row>
    <row r="29" spans="1:6" x14ac:dyDescent="0.25">
      <c r="A29" t="s">
        <v>257</v>
      </c>
    </row>
    <row r="30" spans="1:6" x14ac:dyDescent="0.25">
      <c r="A30" t="s">
        <v>258</v>
      </c>
    </row>
    <row r="32" spans="1:6" x14ac:dyDescent="0.25">
      <c r="A32" s="86" t="s">
        <v>166</v>
      </c>
    </row>
    <row r="33" spans="1:6" x14ac:dyDescent="0.25">
      <c r="A33" s="45" t="s">
        <v>248</v>
      </c>
      <c r="C33" s="87" t="s">
        <v>19</v>
      </c>
      <c r="D33" s="87" t="s">
        <v>20</v>
      </c>
      <c r="E33" s="87" t="s">
        <v>21</v>
      </c>
      <c r="F33" s="87" t="s">
        <v>247</v>
      </c>
    </row>
    <row r="34" spans="1:6" x14ac:dyDescent="0.25">
      <c r="A34" s="33" t="s">
        <v>249</v>
      </c>
      <c r="C34" s="88">
        <f>C14*'Assumptions (Claim Dev)'!$B$36</f>
        <v>160</v>
      </c>
      <c r="D34" s="88">
        <f>D14*'Assumptions (Claim Dev)'!$B$36</f>
        <v>160</v>
      </c>
      <c r="E34" s="88">
        <f>E14*'Assumptions (Claim Dev)'!$B$36</f>
        <v>160</v>
      </c>
      <c r="F34" s="12">
        <f>F14*'Assumptions (Claim Dev)'!$B$36</f>
        <v>0</v>
      </c>
    </row>
    <row r="35" spans="1:6" x14ac:dyDescent="0.25">
      <c r="A35" s="89" t="s">
        <v>250</v>
      </c>
      <c r="C35" s="12">
        <v>0</v>
      </c>
      <c r="D35" s="12">
        <f>C14*'Assumptions (Claim Dev)'!$B$37</f>
        <v>39.999999999999993</v>
      </c>
      <c r="E35" s="12">
        <f>D14*'Assumptions (Claim Dev)'!$B$37</f>
        <v>39.999999999999993</v>
      </c>
      <c r="F35" s="12">
        <f>E14*'Assumptions (Claim Dev)'!$B$37</f>
        <v>39.999999999999993</v>
      </c>
    </row>
    <row r="36" spans="1:6" x14ac:dyDescent="0.25">
      <c r="A36" s="89" t="s">
        <v>251</v>
      </c>
      <c r="C36" s="12">
        <f>C15</f>
        <v>50</v>
      </c>
      <c r="D36" s="12">
        <f>D15</f>
        <v>50</v>
      </c>
      <c r="E36" s="12">
        <f>E15</f>
        <v>50</v>
      </c>
      <c r="F36" s="12">
        <f>F15</f>
        <v>0</v>
      </c>
    </row>
    <row r="37" spans="1:6" x14ac:dyDescent="0.25">
      <c r="A37" s="86" t="s">
        <v>252</v>
      </c>
      <c r="C37" s="13">
        <f>C34+C35+C36</f>
        <v>210</v>
      </c>
      <c r="D37" s="13">
        <f>D34+D35+D36</f>
        <v>250</v>
      </c>
      <c r="E37" s="13">
        <f>E34+E35+E36</f>
        <v>250</v>
      </c>
      <c r="F37" s="13">
        <f>F34+F35+F36</f>
        <v>39.999999999999993</v>
      </c>
    </row>
    <row r="39" spans="1:6" x14ac:dyDescent="0.25">
      <c r="A39" s="103" t="s">
        <v>253</v>
      </c>
    </row>
    <row r="40" spans="1:6" x14ac:dyDescent="0.25">
      <c r="A40" t="s">
        <v>254</v>
      </c>
      <c r="C40" s="12">
        <f>C14*'Assumptions (Claim Dev)'!$B$37</f>
        <v>39.999999999999993</v>
      </c>
      <c r="D40" s="12">
        <f>D14*'Assumptions (Claim Dev)'!$B$37</f>
        <v>39.999999999999993</v>
      </c>
      <c r="E40" s="12">
        <f>E14*'Assumptions (Claim Dev)'!$B$37</f>
        <v>39.999999999999993</v>
      </c>
      <c r="F40" s="12">
        <f>F14*'Assumptions (Claim Dev)'!$B$37</f>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F3C4-8B3B-4A20-A9DD-27CDE792E0B1}">
  <dimension ref="A1:F25"/>
  <sheetViews>
    <sheetView workbookViewId="0">
      <selection activeCell="C36" sqref="C36"/>
    </sheetView>
    <sheetView workbookViewId="1">
      <selection activeCell="B30" sqref="B30"/>
    </sheetView>
  </sheetViews>
  <sheetFormatPr defaultRowHeight="15" x14ac:dyDescent="0.25"/>
  <cols>
    <col min="1" max="1" width="53.28515625" customWidth="1"/>
    <col min="2" max="5" width="21" customWidth="1"/>
    <col min="6" max="6" width="9.85546875" bestFit="1" customWidth="1"/>
  </cols>
  <sheetData>
    <row r="1" spans="1:6" ht="18.75" x14ac:dyDescent="0.3">
      <c r="A1" s="1" t="s">
        <v>259</v>
      </c>
    </row>
    <row r="2" spans="1:6" x14ac:dyDescent="0.25">
      <c r="A2" s="2" t="s">
        <v>174</v>
      </c>
    </row>
    <row r="4" spans="1:6" x14ac:dyDescent="0.25">
      <c r="B4" s="42">
        <v>45658</v>
      </c>
      <c r="C4" s="42">
        <v>46022</v>
      </c>
      <c r="D4" s="42">
        <v>46387</v>
      </c>
      <c r="E4" s="42">
        <v>46752</v>
      </c>
      <c r="F4" s="101">
        <v>47117</v>
      </c>
    </row>
    <row r="5" spans="1:6" x14ac:dyDescent="0.25">
      <c r="A5" s="3" t="s">
        <v>22</v>
      </c>
    </row>
    <row r="6" spans="1:6" x14ac:dyDescent="0.25">
      <c r="A6" t="s">
        <v>164</v>
      </c>
      <c r="B6" s="12">
        <f>'Assumptions (Claim Dev)'!B14</f>
        <v>1000</v>
      </c>
      <c r="C6" s="12">
        <f>B6-'P&amp;L (Claim Dev)'!C37</f>
        <v>790</v>
      </c>
      <c r="D6" s="12">
        <f>C6-'P&amp;L (Claim Dev)'!D37</f>
        <v>540</v>
      </c>
      <c r="E6" s="12">
        <f>D6-'P&amp;L (Claim Dev)'!E37</f>
        <v>290</v>
      </c>
      <c r="F6" s="12">
        <f>E6-'P&amp;L (Claim Dev)'!F37</f>
        <v>250</v>
      </c>
    </row>
    <row r="7" spans="1:6" x14ac:dyDescent="0.25">
      <c r="A7" s="3" t="s">
        <v>24</v>
      </c>
      <c r="B7" s="105">
        <f>B6</f>
        <v>1000</v>
      </c>
      <c r="C7" s="105">
        <f>C6</f>
        <v>790</v>
      </c>
      <c r="D7" s="105">
        <f>D6</f>
        <v>540</v>
      </c>
      <c r="E7" s="105">
        <f>E6</f>
        <v>290</v>
      </c>
      <c r="F7" s="13">
        <f>F6</f>
        <v>250</v>
      </c>
    </row>
    <row r="9" spans="1:6" x14ac:dyDescent="0.25">
      <c r="A9" s="3" t="s">
        <v>25</v>
      </c>
    </row>
    <row r="10" spans="1:6" x14ac:dyDescent="0.25">
      <c r="A10" s="106" t="s">
        <v>262</v>
      </c>
    </row>
    <row r="11" spans="1:6" x14ac:dyDescent="0.25">
      <c r="A11" t="s">
        <v>52</v>
      </c>
      <c r="B11" s="12">
        <f>'Assumptions (Claim Dev)'!B20</f>
        <v>750</v>
      </c>
      <c r="C11" s="12">
        <f>B11-'P&amp;L (Claim Dev)'!C6-'P&amp;L (Claim Dev)'!C7</f>
        <v>500</v>
      </c>
      <c r="D11" s="12">
        <f>C11-'P&amp;L (Claim Dev)'!D6-'P&amp;L (Claim Dev)'!D7</f>
        <v>250</v>
      </c>
      <c r="E11" s="12">
        <f>D11-'P&amp;L (Claim Dev)'!E6-'P&amp;L (Claim Dev)'!E7</f>
        <v>0</v>
      </c>
      <c r="F11" s="12">
        <f>E11-'P&amp;L (Claim Dev)'!F6-'P&amp;L (Claim Dev)'!F7</f>
        <v>0</v>
      </c>
    </row>
    <row r="12" spans="1:6" x14ac:dyDescent="0.25">
      <c r="A12" t="s">
        <v>27</v>
      </c>
      <c r="B12" s="12">
        <f>'Assumptions (Claim Dev)'!B21</f>
        <v>90</v>
      </c>
      <c r="C12" s="12">
        <f>B12-'P&amp;L (Claim Dev)'!C8</f>
        <v>60</v>
      </c>
      <c r="D12" s="12">
        <f>C12-'P&amp;L (Claim Dev)'!D8</f>
        <v>30</v>
      </c>
      <c r="E12" s="12">
        <f>D12-'P&amp;L (Claim Dev)'!E8</f>
        <v>0</v>
      </c>
      <c r="F12" s="12">
        <f>E12-'P&amp;L (Claim Dev)'!F8</f>
        <v>0</v>
      </c>
    </row>
    <row r="13" spans="1:6" x14ac:dyDescent="0.25">
      <c r="A13" s="112" t="s">
        <v>263</v>
      </c>
      <c r="B13" s="115">
        <f>B11+B12</f>
        <v>840</v>
      </c>
      <c r="C13" s="115">
        <f>C11+C12</f>
        <v>560</v>
      </c>
      <c r="D13" s="115">
        <f>D11+D12</f>
        <v>280</v>
      </c>
      <c r="E13" s="115">
        <f>E11+E12</f>
        <v>0</v>
      </c>
      <c r="F13" s="115">
        <f>F11+F12</f>
        <v>0</v>
      </c>
    </row>
    <row r="14" spans="1:6" x14ac:dyDescent="0.25">
      <c r="A14" t="s">
        <v>28</v>
      </c>
      <c r="B14" s="12">
        <f>'Assumptions (Claim Dev)'!B22</f>
        <v>160</v>
      </c>
      <c r="C14" s="12">
        <f>B14-'P&amp;L (Claim Dev)'!C9</f>
        <v>106.66666666666666</v>
      </c>
      <c r="D14" s="12">
        <f>C14-'P&amp;L (Claim Dev)'!D9</f>
        <v>53.333333333333321</v>
      </c>
      <c r="E14" s="12">
        <f>D14-'P&amp;L (Claim Dev)'!E9</f>
        <v>0</v>
      </c>
      <c r="F14" s="12">
        <f>E14-'P&amp;L (Claim Dev)'!F9</f>
        <v>0</v>
      </c>
    </row>
    <row r="15" spans="1:6" x14ac:dyDescent="0.25">
      <c r="A15" s="3" t="s">
        <v>264</v>
      </c>
      <c r="B15" s="13">
        <f>B11+B12+B14</f>
        <v>1000</v>
      </c>
      <c r="C15" s="13">
        <f>C11+C12+C14</f>
        <v>666.66666666666663</v>
      </c>
      <c r="D15" s="13">
        <f>D11+D12+D14</f>
        <v>333.33333333333331</v>
      </c>
      <c r="E15" s="13">
        <f>E11+E12+E14</f>
        <v>0</v>
      </c>
      <c r="F15" s="13">
        <f>F11+F12+F14</f>
        <v>0</v>
      </c>
    </row>
    <row r="16" spans="1:6" x14ac:dyDescent="0.25">
      <c r="A16" s="3"/>
      <c r="B16" s="13"/>
      <c r="C16" s="13"/>
      <c r="D16" s="13"/>
      <c r="E16" s="13"/>
      <c r="F16" s="13"/>
    </row>
    <row r="17" spans="1:6" x14ac:dyDescent="0.25">
      <c r="A17" s="106" t="s">
        <v>265</v>
      </c>
      <c r="B17" s="13"/>
      <c r="C17" s="13"/>
      <c r="D17" s="13"/>
      <c r="E17" s="13"/>
      <c r="F17" s="13"/>
    </row>
    <row r="18" spans="1:6" x14ac:dyDescent="0.25">
      <c r="A18" s="98" t="s">
        <v>260</v>
      </c>
      <c r="B18" s="12">
        <v>0</v>
      </c>
      <c r="C18" s="12">
        <f>B18+'P&amp;L (Claim Dev)'!C14-'P&amp;L (Claim Dev)'!C34-'P&amp;L (Claim Dev)'!C35</f>
        <v>40</v>
      </c>
      <c r="D18" s="12">
        <f>C18+'P&amp;L (Claim Dev)'!D14-'P&amp;L (Claim Dev)'!D34-'P&amp;L (Claim Dev)'!D35</f>
        <v>40.000000000000007</v>
      </c>
      <c r="E18" s="12">
        <f>D18+'P&amp;L (Claim Dev)'!E14-'P&amp;L (Claim Dev)'!E34-'P&amp;L (Claim Dev)'!E35</f>
        <v>40.000000000000007</v>
      </c>
      <c r="F18" s="12">
        <f>E18+'P&amp;L (Claim Dev)'!F14-'P&amp;L (Claim Dev)'!F34-'P&amp;L (Claim Dev)'!F35</f>
        <v>0</v>
      </c>
    </row>
    <row r="19" spans="1:6" x14ac:dyDescent="0.25">
      <c r="A19" s="3" t="s">
        <v>261</v>
      </c>
      <c r="B19" s="105">
        <f>B15+B18</f>
        <v>1000</v>
      </c>
      <c r="C19" s="105">
        <f>C15+C18</f>
        <v>706.66666666666663</v>
      </c>
      <c r="D19" s="105">
        <f>D15+D18</f>
        <v>373.33333333333331</v>
      </c>
      <c r="E19" s="105">
        <f>E15+E18</f>
        <v>40.000000000000007</v>
      </c>
      <c r="F19" s="13">
        <f>F15+F18</f>
        <v>0</v>
      </c>
    </row>
    <row r="21" spans="1:6" x14ac:dyDescent="0.25">
      <c r="A21" s="3" t="s">
        <v>31</v>
      </c>
      <c r="B21" s="12"/>
    </row>
    <row r="22" spans="1:6" x14ac:dyDescent="0.25">
      <c r="A22" t="s">
        <v>32</v>
      </c>
      <c r="B22" s="12">
        <v>0</v>
      </c>
      <c r="C22" s="12">
        <f>B22+'P&amp;L (Claim Dev)'!C22</f>
        <v>83.333333333333314</v>
      </c>
      <c r="D22" s="12">
        <f>C22+'P&amp;L (Claim Dev)'!D22</f>
        <v>166.66666666666663</v>
      </c>
      <c r="E22" s="12">
        <f>D22+'P&amp;L (Claim Dev)'!E22</f>
        <v>249.99999999999994</v>
      </c>
      <c r="F22" s="12">
        <f>E22+'P&amp;L (Claim Dev)'!F22</f>
        <v>249.99999999999994</v>
      </c>
    </row>
    <row r="23" spans="1:6" ht="15.75" thickBot="1" x14ac:dyDescent="0.3">
      <c r="A23" s="3" t="s">
        <v>33</v>
      </c>
      <c r="B23" s="20">
        <f>B22</f>
        <v>0</v>
      </c>
      <c r="C23" s="20">
        <f>C22</f>
        <v>83.333333333333314</v>
      </c>
      <c r="D23" s="20">
        <f>D22</f>
        <v>166.66666666666663</v>
      </c>
      <c r="E23" s="20">
        <f>E22</f>
        <v>249.99999999999994</v>
      </c>
      <c r="F23" s="13">
        <f>F22</f>
        <v>249.99999999999994</v>
      </c>
    </row>
    <row r="24" spans="1:6" ht="15.75" thickTop="1" x14ac:dyDescent="0.25"/>
    <row r="25" spans="1:6" x14ac:dyDescent="0.25">
      <c r="A25" s="15" t="s">
        <v>34</v>
      </c>
      <c r="B25" s="3" t="str">
        <f>IF(ABS(B7-B19-B23)&lt;0.01,"✅ Balanced","❌ Error")</f>
        <v>✅ Balanced</v>
      </c>
      <c r="C25" s="3" t="str">
        <f>IF(ABS(C7-C19-C23)&lt;0.01,"✅ Balanced","❌ Error")</f>
        <v>✅ Balanced</v>
      </c>
      <c r="D25" s="3" t="str">
        <f>IF(ABS(D7-D19-D23)&lt;0.01,"✅ Balanced","❌ Error")</f>
        <v>✅ Balanced</v>
      </c>
      <c r="E25" s="3" t="str">
        <f>IF(ABS(E7-E19-E23)&lt;0.01,"✅ Balanced","❌ Error")</f>
        <v>✅ Balanced</v>
      </c>
      <c r="F25" s="3" t="str">
        <f>IF(ABS(F7-F19-F23)&lt;0.01,"✅ Balanced","❌ Error")</f>
        <v>✅ Balanced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Read me</vt:lpstr>
      <vt:lpstr>Simple Model →</vt:lpstr>
      <vt:lpstr>Assumptions (v1)</vt:lpstr>
      <vt:lpstr>P&amp;L (v1)</vt:lpstr>
      <vt:lpstr>Balance Sheet (v1)</vt:lpstr>
      <vt:lpstr>Add discounting →</vt:lpstr>
      <vt:lpstr>Assumptions (v2)</vt:lpstr>
      <vt:lpstr>P&amp;L (v2)</vt:lpstr>
      <vt:lpstr>Balance Sheet (v2)</vt:lpstr>
      <vt:lpstr>OCI Election →</vt:lpstr>
      <vt:lpstr>Assumptions (v3)</vt:lpstr>
      <vt:lpstr>P&amp;L (v3)</vt:lpstr>
      <vt:lpstr>Balance Sheet (v3)</vt:lpstr>
      <vt:lpstr>Experience Variance →</vt:lpstr>
      <vt:lpstr>Assumptions (v4a)</vt:lpstr>
      <vt:lpstr>P&amp;L (v4a)</vt:lpstr>
      <vt:lpstr>Balance Sheet (v4a)</vt:lpstr>
      <vt:lpstr>Re-estimation (Option B) →</vt:lpstr>
      <vt:lpstr>Assumptions (v4b)</vt:lpstr>
      <vt:lpstr>P&amp;L (v4b)</vt:lpstr>
      <vt:lpstr>Balance Sheet (v4b)</vt:lpstr>
      <vt:lpstr>Claim Development →</vt:lpstr>
      <vt:lpstr>Assumptions (Claim Dev)</vt:lpstr>
      <vt:lpstr>P&amp;L (Claim Dev)</vt:lpstr>
      <vt:lpstr>Balance Sheet (Claim Dev)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Martinez Checa</dc:creator>
  <cp:lastModifiedBy>Francisco Martinez Checa</cp:lastModifiedBy>
  <dcterms:created xsi:type="dcterms:W3CDTF">2026-04-03T20:38:55Z</dcterms:created>
  <dcterms:modified xsi:type="dcterms:W3CDTF">2026-05-04T12:54:33Z</dcterms:modified>
</cp:coreProperties>
</file>