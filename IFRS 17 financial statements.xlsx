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acoe\coding_projects\Excel\"/>
    </mc:Choice>
  </mc:AlternateContent>
  <xr:revisionPtr revIDLastSave="0" documentId="13_ncr:1_{D87FF118-7B2A-4D6B-9032-419163D9FA46}" xr6:coauthVersionLast="47" xr6:coauthVersionMax="47" xr10:uidLastSave="{00000000-0000-0000-0000-000000000000}"/>
  <bookViews>
    <workbookView xWindow="19095" yWindow="0" windowWidth="19410" windowHeight="20985" activeTab="4" xr2:uid="{6E55BACE-C920-4AFC-A0D6-9067D8059520}"/>
  </bookViews>
  <sheets>
    <sheet name="Read me" sheetId="22" r:id="rId1"/>
    <sheet name="Simple Model →" sheetId="10" r:id="rId2"/>
    <sheet name="Assumptions (v1)" sheetId="2" r:id="rId3"/>
    <sheet name="P&amp;L (v1)" sheetId="4" r:id="rId4"/>
    <sheet name="Balance Sheet (v1)" sheetId="3" r:id="rId5"/>
    <sheet name="Cash Flow (v1)" sheetId="5" r:id="rId6"/>
    <sheet name="Add discounting →" sheetId="11" r:id="rId7"/>
    <sheet name="Assumptions (v2)" sheetId="6" r:id="rId8"/>
    <sheet name="Balance Sheet (v2)" sheetId="7" r:id="rId9"/>
    <sheet name="P&amp;L (v2)" sheetId="8" r:id="rId10"/>
    <sheet name="Cash Flow (v2)" sheetId="9" r:id="rId11"/>
    <sheet name="Experience Variance →" sheetId="16" r:id="rId12"/>
    <sheet name="Assumptions (v3a)" sheetId="12" r:id="rId13"/>
    <sheet name="P&amp;L (v3a)" sheetId="13" r:id="rId14"/>
    <sheet name="Balance Sheet (v3a)" sheetId="14" r:id="rId15"/>
    <sheet name="Cash Flow (v3a)" sheetId="15" r:id="rId16"/>
    <sheet name="Re-estimation (Option B) →" sheetId="17" r:id="rId17"/>
    <sheet name="Assumptions (v3b)" sheetId="18" r:id="rId18"/>
    <sheet name="P&amp;L (v3b)" sheetId="19" r:id="rId19"/>
    <sheet name="Balance Sheet (v3b)" sheetId="20" r:id="rId20"/>
    <sheet name="Cash Flow (v3b)" sheetId="21" r:id="rId21"/>
    <sheet name="Onerous Contract →" sheetId="27" r:id="rId22"/>
    <sheet name="Assumptions (v4)" sheetId="23" r:id="rId23"/>
    <sheet name="P&amp;L (v4)" sheetId="24" r:id="rId24"/>
    <sheet name="Balance Sheet (v4)" sheetId="25" r:id="rId25"/>
    <sheet name="Cash Flow (v4)" sheetId="26" r:id="rId26"/>
    <sheet name="Reinsurance Held →" sheetId="32" r:id="rId27"/>
    <sheet name="Assumptions (v5)" sheetId="28" r:id="rId28"/>
    <sheet name="P&amp;L (v5)" sheetId="29" r:id="rId29"/>
    <sheet name="Balance Sheet (v5)" sheetId="30" r:id="rId30"/>
    <sheet name="Cash Flow (v5)" sheetId="31"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3" l="1"/>
  <c r="B13" i="3"/>
  <c r="C20" i="4"/>
  <c r="C11" i="4"/>
  <c r="C22" i="4" s="1"/>
  <c r="C24" i="4" s="1"/>
  <c r="C19" i="3" s="1"/>
  <c r="B25" i="2"/>
  <c r="C30" i="5"/>
  <c r="C14" i="2"/>
  <c r="C64" i="28"/>
  <c r="E63" i="31"/>
  <c r="D63" i="31"/>
  <c r="C63" i="31"/>
  <c r="E61" i="31"/>
  <c r="D61" i="31"/>
  <c r="C61" i="31"/>
  <c r="E59" i="31"/>
  <c r="D59" i="31"/>
  <c r="C59" i="31"/>
  <c r="E58" i="31"/>
  <c r="D58" i="31"/>
  <c r="C58" i="31"/>
  <c r="E57" i="31"/>
  <c r="D57" i="31"/>
  <c r="C57" i="31"/>
  <c r="E56" i="31"/>
  <c r="D56" i="31"/>
  <c r="C56" i="31"/>
  <c r="E53" i="31"/>
  <c r="D53" i="31"/>
  <c r="C53" i="31"/>
  <c r="E52" i="31"/>
  <c r="D52" i="31"/>
  <c r="C52" i="31"/>
  <c r="E51" i="31"/>
  <c r="D51" i="31"/>
  <c r="C51" i="31"/>
  <c r="E50" i="31"/>
  <c r="D50" i="31"/>
  <c r="C50" i="31"/>
  <c r="E47" i="31"/>
  <c r="D47" i="31"/>
  <c r="C47" i="31"/>
  <c r="E41" i="31"/>
  <c r="E39" i="31"/>
  <c r="E36" i="31"/>
  <c r="E35" i="31"/>
  <c r="E34" i="31"/>
  <c r="E30" i="31"/>
  <c r="E29" i="31"/>
  <c r="E28" i="31"/>
  <c r="E25" i="31"/>
  <c r="D41" i="31"/>
  <c r="D39" i="31"/>
  <c r="D36" i="31"/>
  <c r="D35" i="31"/>
  <c r="D34" i="31"/>
  <c r="D30" i="31"/>
  <c r="D29" i="31"/>
  <c r="D28" i="31"/>
  <c r="D25" i="31"/>
  <c r="C41" i="31"/>
  <c r="C39" i="31"/>
  <c r="C36" i="31"/>
  <c r="C35" i="31"/>
  <c r="C34" i="31"/>
  <c r="C30" i="31"/>
  <c r="C31" i="31" s="1"/>
  <c r="C29" i="31"/>
  <c r="C28" i="31"/>
  <c r="C25" i="31"/>
  <c r="E16" i="31"/>
  <c r="D16" i="31"/>
  <c r="C16" i="31"/>
  <c r="E14" i="31"/>
  <c r="D14" i="31"/>
  <c r="C14" i="31"/>
  <c r="E13" i="31"/>
  <c r="D13" i="31"/>
  <c r="C13" i="31"/>
  <c r="E10" i="31"/>
  <c r="E11" i="31" s="1"/>
  <c r="E9" i="31"/>
  <c r="D10" i="31"/>
  <c r="D11" i="31" s="1"/>
  <c r="D9" i="31"/>
  <c r="C10" i="31"/>
  <c r="C9" i="31"/>
  <c r="E6" i="31"/>
  <c r="D6" i="31"/>
  <c r="C6" i="31"/>
  <c r="E31" i="31"/>
  <c r="E10" i="30"/>
  <c r="D10" i="30"/>
  <c r="C10" i="30"/>
  <c r="E24" i="29"/>
  <c r="D24" i="29"/>
  <c r="D27" i="29" s="1"/>
  <c r="D35" i="29" s="1"/>
  <c r="D37" i="29" s="1"/>
  <c r="D52" i="29" s="1"/>
  <c r="C24" i="29"/>
  <c r="B6" i="30"/>
  <c r="B7" i="30" s="1"/>
  <c r="B15" i="30" s="1"/>
  <c r="B30" i="30" s="1"/>
  <c r="E22" i="30"/>
  <c r="E20" i="30"/>
  <c r="E19" i="30"/>
  <c r="D22" i="30"/>
  <c r="D20" i="30"/>
  <c r="D19" i="30"/>
  <c r="C22" i="30"/>
  <c r="C20" i="30"/>
  <c r="C19" i="30"/>
  <c r="B22" i="30"/>
  <c r="B20" i="30"/>
  <c r="B19" i="30"/>
  <c r="E12" i="30"/>
  <c r="E9" i="30"/>
  <c r="D12" i="30"/>
  <c r="D9" i="30"/>
  <c r="C12" i="30"/>
  <c r="C9" i="30"/>
  <c r="C6" i="30"/>
  <c r="C7" i="30" s="1"/>
  <c r="B13" i="30"/>
  <c r="B12" i="30"/>
  <c r="B11" i="30"/>
  <c r="B10" i="30"/>
  <c r="B9" i="30"/>
  <c r="B28" i="30"/>
  <c r="E59" i="29"/>
  <c r="D59" i="29"/>
  <c r="C59" i="29"/>
  <c r="E58" i="29"/>
  <c r="D58" i="29"/>
  <c r="C58" i="29"/>
  <c r="E43" i="29"/>
  <c r="D43" i="29"/>
  <c r="C43" i="29"/>
  <c r="E42" i="29"/>
  <c r="D42" i="29"/>
  <c r="C42" i="29"/>
  <c r="E41" i="29"/>
  <c r="D41" i="29"/>
  <c r="C41" i="29"/>
  <c r="E40" i="29"/>
  <c r="D40" i="29"/>
  <c r="C40" i="29"/>
  <c r="E33" i="29"/>
  <c r="D33" i="29"/>
  <c r="C33" i="29"/>
  <c r="E31" i="29"/>
  <c r="D31" i="29"/>
  <c r="C31" i="29"/>
  <c r="E30" i="29"/>
  <c r="D30" i="29"/>
  <c r="C30" i="29"/>
  <c r="E27" i="29"/>
  <c r="E35" i="29" s="1"/>
  <c r="E37" i="29" s="1"/>
  <c r="E52" i="29" s="1"/>
  <c r="C27" i="29"/>
  <c r="C35" i="29" s="1"/>
  <c r="C37" i="29" s="1"/>
  <c r="C52" i="29" s="1"/>
  <c r="C27" i="30" s="1"/>
  <c r="E25" i="29"/>
  <c r="D25" i="29"/>
  <c r="C25" i="29"/>
  <c r="E23" i="29"/>
  <c r="D23" i="29"/>
  <c r="C23" i="29"/>
  <c r="E57" i="29"/>
  <c r="E49" i="29"/>
  <c r="E48" i="29"/>
  <c r="E47" i="29"/>
  <c r="E15" i="29"/>
  <c r="E14" i="29"/>
  <c r="E9" i="29"/>
  <c r="E8" i="29"/>
  <c r="E7" i="29"/>
  <c r="E6" i="29"/>
  <c r="D57" i="29"/>
  <c r="D49" i="29"/>
  <c r="D48" i="29"/>
  <c r="D47" i="29"/>
  <c r="D15" i="29"/>
  <c r="D14" i="29"/>
  <c r="D9" i="29"/>
  <c r="D8" i="29"/>
  <c r="D7" i="29"/>
  <c r="D6" i="29"/>
  <c r="C57" i="29"/>
  <c r="C49" i="29"/>
  <c r="C48" i="29"/>
  <c r="C47" i="29"/>
  <c r="C15" i="29"/>
  <c r="C14" i="29"/>
  <c r="C9" i="29"/>
  <c r="C8" i="29"/>
  <c r="C7" i="29"/>
  <c r="C6" i="29"/>
  <c r="E50" i="29"/>
  <c r="C17" i="29"/>
  <c r="F106" i="28"/>
  <c r="E106" i="28"/>
  <c r="D106" i="28"/>
  <c r="D105" i="28"/>
  <c r="F103" i="28"/>
  <c r="D103" i="28"/>
  <c r="F102" i="28"/>
  <c r="F105" i="28" s="1"/>
  <c r="E102" i="28"/>
  <c r="D102" i="28"/>
  <c r="F101" i="28"/>
  <c r="E101" i="28"/>
  <c r="D101" i="28"/>
  <c r="C99" i="28"/>
  <c r="C98" i="28"/>
  <c r="C96" i="28"/>
  <c r="C95" i="28"/>
  <c r="C94" i="28"/>
  <c r="C93" i="28"/>
  <c r="C90" i="28"/>
  <c r="C89" i="28"/>
  <c r="F86" i="28"/>
  <c r="E86" i="28"/>
  <c r="D86" i="28"/>
  <c r="F85" i="28"/>
  <c r="E85" i="28"/>
  <c r="D85" i="28"/>
  <c r="E84" i="28"/>
  <c r="D84" i="28"/>
  <c r="F83" i="28"/>
  <c r="E83" i="28"/>
  <c r="D83" i="28"/>
  <c r="F82" i="28"/>
  <c r="E82" i="28"/>
  <c r="D82" i="28"/>
  <c r="F81" i="28"/>
  <c r="E81" i="28"/>
  <c r="D81" i="28"/>
  <c r="F80" i="28"/>
  <c r="E80" i="28"/>
  <c r="D80" i="28"/>
  <c r="G78" i="28"/>
  <c r="F78" i="28"/>
  <c r="G77" i="28"/>
  <c r="F77" i="28"/>
  <c r="E77" i="28"/>
  <c r="G74" i="28"/>
  <c r="F74" i="28"/>
  <c r="G73" i="28"/>
  <c r="F73" i="28"/>
  <c r="E73" i="28"/>
  <c r="G72" i="28"/>
  <c r="F72" i="28"/>
  <c r="E72" i="28"/>
  <c r="D72" i="28"/>
  <c r="F69" i="28"/>
  <c r="E69" i="28"/>
  <c r="D69" i="28"/>
  <c r="F68" i="28"/>
  <c r="E68" i="28"/>
  <c r="D68" i="28"/>
  <c r="F67" i="28"/>
  <c r="E67" i="28"/>
  <c r="D67" i="28"/>
  <c r="C50" i="28"/>
  <c r="C46" i="28"/>
  <c r="C45" i="28"/>
  <c r="D25" i="28"/>
  <c r="E24" i="28"/>
  <c r="D24" i="28"/>
  <c r="F23" i="28"/>
  <c r="E23" i="28"/>
  <c r="D23" i="28"/>
  <c r="C14" i="28"/>
  <c r="F13" i="28"/>
  <c r="E13" i="28"/>
  <c r="D13" i="28"/>
  <c r="D14" i="28" s="1"/>
  <c r="F12" i="28"/>
  <c r="F14" i="28" s="1"/>
  <c r="E12" i="28"/>
  <c r="E14" i="28" s="1"/>
  <c r="D12" i="28"/>
  <c r="E40" i="26"/>
  <c r="D40" i="26"/>
  <c r="C40" i="26"/>
  <c r="E38" i="26"/>
  <c r="E37" i="26"/>
  <c r="E36" i="26"/>
  <c r="D38" i="26"/>
  <c r="D37" i="26"/>
  <c r="D36" i="26"/>
  <c r="C38" i="26"/>
  <c r="C37" i="26"/>
  <c r="C36" i="26"/>
  <c r="E33" i="26"/>
  <c r="E32" i="26"/>
  <c r="E31" i="26"/>
  <c r="E27" i="26"/>
  <c r="E26" i="26"/>
  <c r="E25" i="26"/>
  <c r="E22" i="26"/>
  <c r="D33" i="26"/>
  <c r="D32" i="26"/>
  <c r="D31" i="26"/>
  <c r="D27" i="26"/>
  <c r="D26" i="26"/>
  <c r="D25" i="26"/>
  <c r="D22" i="26"/>
  <c r="C33" i="26"/>
  <c r="C32" i="26"/>
  <c r="C34" i="26" s="1"/>
  <c r="C31" i="26"/>
  <c r="C27" i="26"/>
  <c r="C28" i="26" s="1"/>
  <c r="C26" i="26"/>
  <c r="C25" i="26"/>
  <c r="C22" i="26"/>
  <c r="E10" i="26"/>
  <c r="E11" i="26" s="1"/>
  <c r="E9" i="26"/>
  <c r="E6" i="26"/>
  <c r="D10" i="26"/>
  <c r="D9" i="26"/>
  <c r="D6" i="26"/>
  <c r="C10" i="26"/>
  <c r="C9" i="26"/>
  <c r="C6" i="26"/>
  <c r="E20" i="24"/>
  <c r="D20" i="24"/>
  <c r="C20" i="24"/>
  <c r="E16" i="25"/>
  <c r="D16" i="25"/>
  <c r="C16" i="25"/>
  <c r="B16" i="25"/>
  <c r="E15" i="25"/>
  <c r="E14" i="25"/>
  <c r="E12" i="25"/>
  <c r="E11" i="25"/>
  <c r="E8" i="25"/>
  <c r="E6" i="25"/>
  <c r="D15" i="25"/>
  <c r="D14" i="25"/>
  <c r="D12" i="25"/>
  <c r="D11" i="25"/>
  <c r="D8" i="25"/>
  <c r="D6" i="25"/>
  <c r="C15" i="25"/>
  <c r="C14" i="25"/>
  <c r="C12" i="25"/>
  <c r="C11" i="25"/>
  <c r="C8" i="25"/>
  <c r="C6" i="25"/>
  <c r="B14" i="25"/>
  <c r="B12" i="25"/>
  <c r="B11" i="25"/>
  <c r="B6" i="25"/>
  <c r="B21" i="25"/>
  <c r="B7" i="25"/>
  <c r="E22" i="24"/>
  <c r="E29" i="24" s="1"/>
  <c r="D22" i="24"/>
  <c r="D29" i="24" s="1"/>
  <c r="C22" i="24"/>
  <c r="C29" i="24" s="1"/>
  <c r="E18" i="24"/>
  <c r="D18" i="24"/>
  <c r="C18" i="24"/>
  <c r="E34" i="24"/>
  <c r="D34" i="24"/>
  <c r="C34" i="24"/>
  <c r="E26" i="24"/>
  <c r="E25" i="24"/>
  <c r="E24" i="24"/>
  <c r="D26" i="24"/>
  <c r="D25" i="24"/>
  <c r="D24" i="24"/>
  <c r="C26" i="24"/>
  <c r="C25" i="24"/>
  <c r="C24" i="24"/>
  <c r="E15" i="24"/>
  <c r="E14" i="24"/>
  <c r="D15" i="24"/>
  <c r="D14" i="24"/>
  <c r="D17" i="24" s="1"/>
  <c r="C15" i="24"/>
  <c r="C14" i="24"/>
  <c r="E9" i="24"/>
  <c r="E8" i="24"/>
  <c r="E7" i="24"/>
  <c r="E6" i="24"/>
  <c r="D9" i="24"/>
  <c r="D8" i="24"/>
  <c r="D7" i="24"/>
  <c r="D11" i="24" s="1"/>
  <c r="D6" i="24"/>
  <c r="C9" i="24"/>
  <c r="C8" i="24"/>
  <c r="C7" i="24"/>
  <c r="C6" i="24"/>
  <c r="E17" i="24"/>
  <c r="C11" i="24"/>
  <c r="F82" i="23"/>
  <c r="F80" i="23"/>
  <c r="F79" i="23"/>
  <c r="F78" i="23"/>
  <c r="E82" i="23"/>
  <c r="E80" i="23"/>
  <c r="E79" i="23"/>
  <c r="E78" i="23"/>
  <c r="D82" i="23"/>
  <c r="D79" i="23"/>
  <c r="F77" i="23"/>
  <c r="E77" i="23"/>
  <c r="D77" i="23"/>
  <c r="F75" i="23"/>
  <c r="F73" i="23"/>
  <c r="F72" i="23"/>
  <c r="F71" i="23"/>
  <c r="F69" i="23"/>
  <c r="F68" i="23"/>
  <c r="E75" i="23"/>
  <c r="E73" i="23"/>
  <c r="E72" i="23"/>
  <c r="E71" i="23"/>
  <c r="E69" i="23"/>
  <c r="E68" i="23"/>
  <c r="D75" i="23"/>
  <c r="D73" i="23"/>
  <c r="D72" i="23"/>
  <c r="D71" i="23"/>
  <c r="D70" i="23"/>
  <c r="D69" i="23"/>
  <c r="D68" i="23"/>
  <c r="F67" i="23"/>
  <c r="E67" i="23"/>
  <c r="D67" i="23"/>
  <c r="C62" i="23"/>
  <c r="C58" i="23"/>
  <c r="C57" i="23"/>
  <c r="D35" i="23"/>
  <c r="E34" i="23"/>
  <c r="D34" i="23"/>
  <c r="F33" i="23"/>
  <c r="E33" i="23"/>
  <c r="D33" i="23"/>
  <c r="F24" i="23"/>
  <c r="F25" i="23" s="1"/>
  <c r="C14" i="23"/>
  <c r="F13" i="23"/>
  <c r="F19" i="23" s="1"/>
  <c r="F20" i="23" s="1"/>
  <c r="E13" i="23"/>
  <c r="E24" i="23" s="1"/>
  <c r="E25" i="23" s="1"/>
  <c r="D13" i="23"/>
  <c r="D14" i="23" s="1"/>
  <c r="F12" i="23"/>
  <c r="F14" i="23" s="1"/>
  <c r="E12" i="23"/>
  <c r="D12" i="23"/>
  <c r="C19" i="20"/>
  <c r="D19" i="20" s="1"/>
  <c r="D52" i="18"/>
  <c r="C28" i="5"/>
  <c r="C17" i="4"/>
  <c r="C6" i="4"/>
  <c r="B26" i="2"/>
  <c r="D23" i="6"/>
  <c r="C27" i="19"/>
  <c r="E40" i="21"/>
  <c r="D40" i="21"/>
  <c r="C40" i="21"/>
  <c r="E38" i="21"/>
  <c r="D38" i="21"/>
  <c r="C38" i="21"/>
  <c r="E34" i="21"/>
  <c r="D34" i="21"/>
  <c r="C34" i="21"/>
  <c r="E33" i="21"/>
  <c r="D33" i="21"/>
  <c r="C33" i="21"/>
  <c r="E32" i="21"/>
  <c r="D32" i="21"/>
  <c r="C32" i="21"/>
  <c r="E31" i="21"/>
  <c r="D31" i="21"/>
  <c r="C31" i="21"/>
  <c r="E28" i="21"/>
  <c r="D28" i="21"/>
  <c r="C28" i="21"/>
  <c r="E27" i="21"/>
  <c r="D27" i="21"/>
  <c r="C27" i="21"/>
  <c r="E26" i="21"/>
  <c r="D26" i="21"/>
  <c r="C26" i="21"/>
  <c r="E25" i="21"/>
  <c r="D25" i="21"/>
  <c r="C25" i="21"/>
  <c r="E22" i="21"/>
  <c r="D22" i="21"/>
  <c r="C22" i="21"/>
  <c r="E15" i="21"/>
  <c r="D15" i="21"/>
  <c r="C15" i="21"/>
  <c r="E13" i="21"/>
  <c r="D13" i="21"/>
  <c r="C13" i="21"/>
  <c r="E11" i="21"/>
  <c r="D11" i="21"/>
  <c r="C11" i="21"/>
  <c r="E10" i="21"/>
  <c r="D10" i="21"/>
  <c r="C10" i="21"/>
  <c r="E9" i="21"/>
  <c r="D9" i="21"/>
  <c r="C9" i="21"/>
  <c r="E6" i="21"/>
  <c r="D6" i="21"/>
  <c r="C6" i="21"/>
  <c r="B22" i="20"/>
  <c r="B20" i="20"/>
  <c r="E16" i="20"/>
  <c r="D16" i="20"/>
  <c r="C16" i="20"/>
  <c r="B16" i="20"/>
  <c r="E15" i="20"/>
  <c r="D15" i="20"/>
  <c r="C15" i="20"/>
  <c r="B15" i="20"/>
  <c r="E14" i="20"/>
  <c r="D14" i="20"/>
  <c r="C14" i="20"/>
  <c r="B14" i="20"/>
  <c r="E13" i="20"/>
  <c r="D13" i="20"/>
  <c r="C13" i="20"/>
  <c r="B13" i="20"/>
  <c r="E12" i="20"/>
  <c r="D12" i="20"/>
  <c r="C12" i="20"/>
  <c r="B12" i="20"/>
  <c r="E11" i="20"/>
  <c r="D11" i="20"/>
  <c r="C11" i="20"/>
  <c r="B11" i="20"/>
  <c r="E7" i="20"/>
  <c r="D7" i="20"/>
  <c r="C7" i="20"/>
  <c r="B7" i="20"/>
  <c r="E6" i="20"/>
  <c r="D6" i="20"/>
  <c r="C6" i="20"/>
  <c r="B6" i="20"/>
  <c r="E32" i="19"/>
  <c r="D32" i="19"/>
  <c r="C32" i="19"/>
  <c r="E29" i="19"/>
  <c r="D29" i="19"/>
  <c r="C29" i="19"/>
  <c r="E27" i="19"/>
  <c r="D27" i="19"/>
  <c r="E25" i="19"/>
  <c r="D25" i="19"/>
  <c r="C25" i="19"/>
  <c r="E24" i="19"/>
  <c r="D24" i="19"/>
  <c r="C24" i="19"/>
  <c r="E23" i="19"/>
  <c r="D23" i="19"/>
  <c r="C23" i="19"/>
  <c r="E22" i="19"/>
  <c r="D22" i="19"/>
  <c r="C22" i="19"/>
  <c r="E19" i="19"/>
  <c r="D19" i="19"/>
  <c r="C19" i="19"/>
  <c r="E17" i="19"/>
  <c r="D17" i="19"/>
  <c r="C17" i="19"/>
  <c r="E15" i="19"/>
  <c r="D15" i="19"/>
  <c r="C15" i="19"/>
  <c r="E14" i="19"/>
  <c r="D14" i="19"/>
  <c r="C14" i="19"/>
  <c r="E11" i="19"/>
  <c r="D11" i="19"/>
  <c r="C11" i="19"/>
  <c r="E9" i="19"/>
  <c r="D9" i="19"/>
  <c r="C9" i="19"/>
  <c r="E8" i="19"/>
  <c r="D8" i="19"/>
  <c r="C8" i="19"/>
  <c r="E7" i="19"/>
  <c r="D7" i="19"/>
  <c r="C7" i="19"/>
  <c r="E6" i="19"/>
  <c r="D6" i="19"/>
  <c r="C6" i="19"/>
  <c r="F73" i="18"/>
  <c r="E73" i="18"/>
  <c r="F68" i="18" s="1"/>
  <c r="D73" i="18"/>
  <c r="D71" i="18"/>
  <c r="D70" i="18"/>
  <c r="D69" i="18"/>
  <c r="E68" i="18"/>
  <c r="E69" i="18" s="1"/>
  <c r="D68" i="18"/>
  <c r="C65" i="18"/>
  <c r="C64" i="18"/>
  <c r="C63" i="18"/>
  <c r="C62" i="18"/>
  <c r="C61" i="18"/>
  <c r="C58" i="18"/>
  <c r="C57" i="18"/>
  <c r="F54" i="18"/>
  <c r="E54" i="18"/>
  <c r="D54" i="18"/>
  <c r="F53" i="18"/>
  <c r="E53" i="18"/>
  <c r="D53" i="18"/>
  <c r="E51" i="18"/>
  <c r="D51" i="18"/>
  <c r="F50" i="18"/>
  <c r="E50" i="18"/>
  <c r="D50" i="18"/>
  <c r="F49" i="18"/>
  <c r="E49" i="18"/>
  <c r="D49" i="18"/>
  <c r="F48" i="18"/>
  <c r="E48" i="18"/>
  <c r="D48" i="18"/>
  <c r="G45" i="18"/>
  <c r="F45" i="18"/>
  <c r="G44" i="18"/>
  <c r="F44" i="18"/>
  <c r="E44" i="18"/>
  <c r="G41" i="18"/>
  <c r="F41" i="18"/>
  <c r="G40" i="18"/>
  <c r="F40" i="18"/>
  <c r="E40" i="18"/>
  <c r="G39" i="18"/>
  <c r="F39" i="18"/>
  <c r="E39" i="18"/>
  <c r="G38" i="18"/>
  <c r="F38" i="18"/>
  <c r="E38" i="18"/>
  <c r="D38" i="18"/>
  <c r="D35" i="18"/>
  <c r="E34" i="18"/>
  <c r="D34" i="18"/>
  <c r="F33" i="18"/>
  <c r="E33" i="18"/>
  <c r="D33" i="18"/>
  <c r="F25" i="18"/>
  <c r="E25" i="18"/>
  <c r="D25" i="18"/>
  <c r="F24" i="18"/>
  <c r="E24" i="18"/>
  <c r="D24" i="18"/>
  <c r="F20" i="18"/>
  <c r="E20" i="18"/>
  <c r="F19" i="18"/>
  <c r="E19" i="18"/>
  <c r="F14" i="18"/>
  <c r="E14" i="18"/>
  <c r="D14" i="18"/>
  <c r="C14" i="18"/>
  <c r="F13" i="18"/>
  <c r="E13" i="18"/>
  <c r="D13" i="18"/>
  <c r="F12" i="18"/>
  <c r="E12" i="18"/>
  <c r="D12" i="18"/>
  <c r="D31" i="31" l="1"/>
  <c r="C11" i="31"/>
  <c r="C18" i="31" s="1"/>
  <c r="D18" i="31"/>
  <c r="C37" i="31"/>
  <c r="D37" i="31"/>
  <c r="E37" i="31"/>
  <c r="E18" i="31"/>
  <c r="E11" i="30"/>
  <c r="E13" i="30" s="1"/>
  <c r="D27" i="30"/>
  <c r="E27" i="30" s="1"/>
  <c r="C28" i="30"/>
  <c r="C11" i="30"/>
  <c r="C13" i="30" s="1"/>
  <c r="C15" i="30" s="1"/>
  <c r="C30" i="30" s="1"/>
  <c r="D6" i="30"/>
  <c r="E21" i="30"/>
  <c r="E23" i="30" s="1"/>
  <c r="E24" i="30" s="1"/>
  <c r="B21" i="30"/>
  <c r="B23" i="30" s="1"/>
  <c r="B24" i="30" s="1"/>
  <c r="C21" i="30"/>
  <c r="C23" i="30" s="1"/>
  <c r="C24" i="30" s="1"/>
  <c r="E28" i="30"/>
  <c r="D21" i="30"/>
  <c r="D23" i="30" s="1"/>
  <c r="D24" i="30" s="1"/>
  <c r="D17" i="29"/>
  <c r="E17" i="29"/>
  <c r="E11" i="29"/>
  <c r="E19" i="29" s="1"/>
  <c r="D50" i="29"/>
  <c r="D11" i="29"/>
  <c r="D19" i="29" s="1"/>
  <c r="C50" i="29"/>
  <c r="C11" i="29"/>
  <c r="C19" i="29" s="1"/>
  <c r="E103" i="28"/>
  <c r="E105" i="28" s="1"/>
  <c r="E33" i="28"/>
  <c r="E38" i="28"/>
  <c r="E28" i="28"/>
  <c r="E29" i="28"/>
  <c r="F28" i="28"/>
  <c r="F33" i="28"/>
  <c r="F38" i="28"/>
  <c r="F30" i="28"/>
  <c r="G30" i="28" s="1"/>
  <c r="F29" i="28"/>
  <c r="F34" i="28"/>
  <c r="G34" i="28" s="1"/>
  <c r="D28" i="28"/>
  <c r="G28" i="28" s="1"/>
  <c r="D38" i="28"/>
  <c r="D11" i="26"/>
  <c r="E34" i="26"/>
  <c r="E28" i="26"/>
  <c r="D34" i="26"/>
  <c r="D28" i="26"/>
  <c r="C42" i="26"/>
  <c r="D13" i="26"/>
  <c r="D15" i="26" s="1"/>
  <c r="C11" i="26"/>
  <c r="C13" i="26" s="1"/>
  <c r="C15" i="26" s="1"/>
  <c r="E13" i="26"/>
  <c r="E15" i="26" s="1"/>
  <c r="C31" i="24"/>
  <c r="D31" i="24" s="1"/>
  <c r="E31" i="24" s="1"/>
  <c r="C20" i="25"/>
  <c r="E13" i="25"/>
  <c r="E17" i="25" s="1"/>
  <c r="B13" i="25"/>
  <c r="B17" i="25" s="1"/>
  <c r="B23" i="25" s="1"/>
  <c r="C13" i="25"/>
  <c r="C17" i="25" s="1"/>
  <c r="D13" i="25"/>
  <c r="D17" i="25" s="1"/>
  <c r="E27" i="24"/>
  <c r="D27" i="24"/>
  <c r="C27" i="24"/>
  <c r="C17" i="24"/>
  <c r="E11" i="24"/>
  <c r="F45" i="23"/>
  <c r="G45" i="23" s="1"/>
  <c r="F49" i="23"/>
  <c r="F41" i="23"/>
  <c r="G41" i="23" s="1"/>
  <c r="F40" i="23"/>
  <c r="F39" i="23"/>
  <c r="F44" i="23"/>
  <c r="F38" i="23"/>
  <c r="D38" i="23"/>
  <c r="D49" i="23"/>
  <c r="E14" i="23"/>
  <c r="E19" i="23"/>
  <c r="E20" i="23" s="1"/>
  <c r="D24" i="23"/>
  <c r="D25" i="23" s="1"/>
  <c r="E19" i="20"/>
  <c r="E20" i="20" s="1"/>
  <c r="E22" i="20" s="1"/>
  <c r="D20" i="20"/>
  <c r="D22" i="20" s="1"/>
  <c r="C20" i="20"/>
  <c r="C22" i="20" s="1"/>
  <c r="F69" i="18"/>
  <c r="F71" i="18"/>
  <c r="E71" i="18"/>
  <c r="D11" i="30" l="1"/>
  <c r="D13" i="30" s="1"/>
  <c r="E6" i="30"/>
  <c r="E7" i="30" s="1"/>
  <c r="E15" i="30" s="1"/>
  <c r="E30" i="30" s="1"/>
  <c r="D7" i="30"/>
  <c r="D15" i="30" s="1"/>
  <c r="D28" i="30"/>
  <c r="C54" i="29"/>
  <c r="D54" i="29" s="1"/>
  <c r="E54" i="29" s="1"/>
  <c r="C49" i="28"/>
  <c r="C51" i="28" s="1"/>
  <c r="D37" i="28"/>
  <c r="G29" i="28"/>
  <c r="E39" i="28" s="1"/>
  <c r="E40" i="28"/>
  <c r="F39" i="28"/>
  <c r="F37" i="28"/>
  <c r="F41" i="28" s="1"/>
  <c r="F42" i="28" s="1"/>
  <c r="G33" i="28"/>
  <c r="D39" i="28" s="1"/>
  <c r="E42" i="26"/>
  <c r="D42" i="26"/>
  <c r="C21" i="25"/>
  <c r="D20" i="25"/>
  <c r="C7" i="25"/>
  <c r="E49" i="23"/>
  <c r="E40" i="23"/>
  <c r="G40" i="23" s="1"/>
  <c r="E39" i="23"/>
  <c r="G39" i="23" s="1"/>
  <c r="E38" i="23"/>
  <c r="E44" i="23"/>
  <c r="G44" i="23" s="1"/>
  <c r="G38" i="23"/>
  <c r="E51" i="23"/>
  <c r="F50" i="23"/>
  <c r="F48" i="23"/>
  <c r="F53" i="23" s="1"/>
  <c r="F54" i="23" s="1"/>
  <c r="E38" i="15"/>
  <c r="D38" i="15"/>
  <c r="C38" i="15"/>
  <c r="E36" i="15"/>
  <c r="D36" i="15"/>
  <c r="C36" i="15"/>
  <c r="E34" i="15"/>
  <c r="D34" i="15"/>
  <c r="C34" i="15"/>
  <c r="E33" i="15"/>
  <c r="D33" i="15"/>
  <c r="C33" i="15"/>
  <c r="E32" i="15"/>
  <c r="D32" i="15"/>
  <c r="C32" i="15"/>
  <c r="E31" i="15"/>
  <c r="D31" i="15"/>
  <c r="C31" i="15"/>
  <c r="E28" i="15"/>
  <c r="D28" i="15"/>
  <c r="C28" i="15"/>
  <c r="E27" i="15"/>
  <c r="D27" i="15"/>
  <c r="C27" i="15"/>
  <c r="E26" i="15"/>
  <c r="D26" i="15"/>
  <c r="C26" i="15"/>
  <c r="E25" i="15"/>
  <c r="D25" i="15"/>
  <c r="C25" i="15"/>
  <c r="E22" i="15"/>
  <c r="D22" i="15"/>
  <c r="C22" i="15"/>
  <c r="E15" i="15"/>
  <c r="D15" i="15"/>
  <c r="C15" i="15"/>
  <c r="E13" i="15"/>
  <c r="D13" i="15"/>
  <c r="C13" i="15"/>
  <c r="E11" i="15"/>
  <c r="D11" i="15"/>
  <c r="C11" i="15"/>
  <c r="E10" i="15"/>
  <c r="D10" i="15"/>
  <c r="C10" i="15"/>
  <c r="E9" i="15"/>
  <c r="D9" i="15"/>
  <c r="C9" i="15"/>
  <c r="E6" i="15"/>
  <c r="D6" i="15"/>
  <c r="C6" i="15"/>
  <c r="E22" i="14"/>
  <c r="D22" i="14"/>
  <c r="C22" i="14"/>
  <c r="B22" i="14"/>
  <c r="E20" i="14"/>
  <c r="D20" i="14"/>
  <c r="C20" i="14"/>
  <c r="B20" i="14"/>
  <c r="E19" i="14"/>
  <c r="D19" i="14"/>
  <c r="C19" i="14"/>
  <c r="E16" i="14"/>
  <c r="D16" i="14"/>
  <c r="C16" i="14"/>
  <c r="B16" i="14"/>
  <c r="E15" i="14"/>
  <c r="D15" i="14"/>
  <c r="C15" i="14"/>
  <c r="B15" i="14"/>
  <c r="E14" i="14"/>
  <c r="D14" i="14"/>
  <c r="C14" i="14"/>
  <c r="B14" i="14"/>
  <c r="E13" i="14"/>
  <c r="D13" i="14"/>
  <c r="C13" i="14"/>
  <c r="B13" i="14"/>
  <c r="E12" i="14"/>
  <c r="D12" i="14"/>
  <c r="C12" i="14"/>
  <c r="B12" i="14"/>
  <c r="E11" i="14"/>
  <c r="D11" i="14"/>
  <c r="C11" i="14"/>
  <c r="B11" i="14"/>
  <c r="E7" i="14"/>
  <c r="D7" i="14"/>
  <c r="C7" i="14"/>
  <c r="B7" i="14"/>
  <c r="E6" i="14"/>
  <c r="D6" i="14"/>
  <c r="C6" i="14"/>
  <c r="B6" i="14"/>
  <c r="E32" i="13"/>
  <c r="D32" i="13"/>
  <c r="C32" i="13"/>
  <c r="E29" i="13"/>
  <c r="D29" i="13"/>
  <c r="C29" i="13"/>
  <c r="E27" i="13"/>
  <c r="D27" i="13"/>
  <c r="C27" i="13"/>
  <c r="E25" i="13"/>
  <c r="D25" i="13"/>
  <c r="C25" i="13"/>
  <c r="E24" i="13"/>
  <c r="D24" i="13"/>
  <c r="C24" i="13"/>
  <c r="E23" i="13"/>
  <c r="D23" i="13"/>
  <c r="C23" i="13"/>
  <c r="E22" i="13"/>
  <c r="D22" i="13"/>
  <c r="C22" i="13"/>
  <c r="E19" i="13"/>
  <c r="D19" i="13"/>
  <c r="C19" i="13"/>
  <c r="E17" i="13"/>
  <c r="D17" i="13"/>
  <c r="C17" i="13"/>
  <c r="E15" i="13"/>
  <c r="D15" i="13"/>
  <c r="C15" i="13"/>
  <c r="E14" i="13"/>
  <c r="D14" i="13"/>
  <c r="C14" i="13"/>
  <c r="E11" i="13"/>
  <c r="D11" i="13"/>
  <c r="C11" i="13"/>
  <c r="E9" i="13"/>
  <c r="D9" i="13"/>
  <c r="C9" i="13"/>
  <c r="E8" i="13"/>
  <c r="D8" i="13"/>
  <c r="C8" i="13"/>
  <c r="E7" i="13"/>
  <c r="D7" i="13"/>
  <c r="C7" i="13"/>
  <c r="E6" i="13"/>
  <c r="D6" i="13"/>
  <c r="C6" i="13"/>
  <c r="F65" i="12"/>
  <c r="E65" i="12"/>
  <c r="F61" i="12" s="1"/>
  <c r="D65" i="12"/>
  <c r="D64" i="12"/>
  <c r="D62" i="12"/>
  <c r="E61" i="12"/>
  <c r="D61" i="12"/>
  <c r="C58" i="12"/>
  <c r="C57" i="12"/>
  <c r="C56" i="12"/>
  <c r="C55" i="12"/>
  <c r="C54" i="12"/>
  <c r="C51" i="12"/>
  <c r="C50" i="12"/>
  <c r="F47" i="12"/>
  <c r="E47" i="12"/>
  <c r="D47" i="12"/>
  <c r="F46" i="12"/>
  <c r="E46" i="12"/>
  <c r="D46" i="12"/>
  <c r="E45" i="12"/>
  <c r="D45" i="12"/>
  <c r="F44" i="12"/>
  <c r="E44" i="12"/>
  <c r="D44" i="12"/>
  <c r="F43" i="12"/>
  <c r="E43" i="12"/>
  <c r="D43" i="12"/>
  <c r="F42" i="12"/>
  <c r="E42" i="12"/>
  <c r="D42" i="12"/>
  <c r="G39" i="12"/>
  <c r="F39" i="12"/>
  <c r="G38" i="12"/>
  <c r="F38" i="12"/>
  <c r="E38" i="12"/>
  <c r="G35" i="12"/>
  <c r="F35" i="12"/>
  <c r="G34" i="12"/>
  <c r="F34" i="12"/>
  <c r="E34" i="12"/>
  <c r="G33" i="12"/>
  <c r="F33" i="12"/>
  <c r="E33" i="12"/>
  <c r="D33" i="12"/>
  <c r="D30" i="12"/>
  <c r="E29" i="12"/>
  <c r="D29" i="12"/>
  <c r="F28" i="12"/>
  <c r="E28" i="12"/>
  <c r="D28" i="12"/>
  <c r="F20" i="12"/>
  <c r="E20" i="12"/>
  <c r="D20" i="12"/>
  <c r="F19" i="12"/>
  <c r="E19" i="12"/>
  <c r="D19" i="12"/>
  <c r="F14" i="12"/>
  <c r="E14" i="12"/>
  <c r="D14" i="12"/>
  <c r="C14" i="12"/>
  <c r="F13" i="12"/>
  <c r="E13" i="12"/>
  <c r="D13" i="12"/>
  <c r="F12" i="12"/>
  <c r="E12" i="12"/>
  <c r="D12" i="12"/>
  <c r="B18" i="4"/>
  <c r="B18" i="5"/>
  <c r="C14" i="6"/>
  <c r="C45" i="6"/>
  <c r="C50" i="6" s="1"/>
  <c r="B12" i="7" s="1"/>
  <c r="E23" i="6"/>
  <c r="E24" i="6"/>
  <c r="F23" i="6"/>
  <c r="E32" i="9"/>
  <c r="E10" i="9"/>
  <c r="D10" i="9"/>
  <c r="E7" i="8"/>
  <c r="D7" i="8"/>
  <c r="C7" i="8"/>
  <c r="E6" i="8"/>
  <c r="E25" i="9" s="1"/>
  <c r="D6" i="8"/>
  <c r="D25" i="9" s="1"/>
  <c r="C6" i="8"/>
  <c r="C25" i="9" s="1"/>
  <c r="E23" i="8"/>
  <c r="B20" i="7"/>
  <c r="E11" i="7"/>
  <c r="B6" i="7"/>
  <c r="B7" i="7" s="1"/>
  <c r="E15" i="8"/>
  <c r="D15" i="8"/>
  <c r="C15" i="8"/>
  <c r="E14" i="8"/>
  <c r="D25" i="6"/>
  <c r="D24" i="6"/>
  <c r="F13" i="6"/>
  <c r="E13" i="6"/>
  <c r="D13" i="6"/>
  <c r="C10" i="9" s="1"/>
  <c r="F12" i="6"/>
  <c r="F14" i="6" s="1"/>
  <c r="E12" i="6"/>
  <c r="D14" i="8" s="1"/>
  <c r="D12" i="6"/>
  <c r="C14" i="8" s="1"/>
  <c r="B19" i="2"/>
  <c r="B11" i="3" s="1"/>
  <c r="E9" i="5"/>
  <c r="D9" i="5"/>
  <c r="C9" i="5"/>
  <c r="B21" i="2"/>
  <c r="D9" i="4" s="1"/>
  <c r="E20" i="4"/>
  <c r="D20" i="4"/>
  <c r="C15" i="4"/>
  <c r="E14" i="4"/>
  <c r="D14" i="4"/>
  <c r="C14" i="4"/>
  <c r="E8" i="4"/>
  <c r="E26" i="5" s="1"/>
  <c r="D8" i="4"/>
  <c r="D26" i="5" s="1"/>
  <c r="C8" i="4"/>
  <c r="C26" i="5" s="1"/>
  <c r="E7" i="4"/>
  <c r="E6" i="4"/>
  <c r="E25" i="5" s="1"/>
  <c r="D6" i="4"/>
  <c r="B20" i="3"/>
  <c r="B12" i="3"/>
  <c r="C12" i="3" s="1"/>
  <c r="B6" i="3"/>
  <c r="C6" i="5" s="1"/>
  <c r="B20" i="2"/>
  <c r="C16" i="2"/>
  <c r="C15" i="2"/>
  <c r="D30" i="30" l="1"/>
  <c r="D40" i="28"/>
  <c r="E37" i="28"/>
  <c r="E41" i="28" s="1"/>
  <c r="E42" i="28" s="1"/>
  <c r="D41" i="28"/>
  <c r="D42" i="28" s="1"/>
  <c r="C52" i="28"/>
  <c r="D56" i="28" s="1"/>
  <c r="C23" i="25"/>
  <c r="E20" i="25"/>
  <c r="E21" i="25" s="1"/>
  <c r="D21" i="25"/>
  <c r="D7" i="25"/>
  <c r="E7" i="25"/>
  <c r="D51" i="23"/>
  <c r="D48" i="23"/>
  <c r="C61" i="23"/>
  <c r="C63" i="23" s="1"/>
  <c r="D50" i="23"/>
  <c r="D52" i="23"/>
  <c r="E48" i="23"/>
  <c r="E50" i="23"/>
  <c r="F62" i="12"/>
  <c r="F64" i="12" s="1"/>
  <c r="E62" i="12"/>
  <c r="E64" i="12" s="1"/>
  <c r="E32" i="8"/>
  <c r="F30" i="6"/>
  <c r="G30" i="6" s="1"/>
  <c r="F34" i="6"/>
  <c r="G34" i="6" s="1"/>
  <c r="F28" i="6"/>
  <c r="F38" i="6"/>
  <c r="F33" i="6"/>
  <c r="C46" i="6"/>
  <c r="E17" i="8"/>
  <c r="C6" i="9"/>
  <c r="C9" i="9"/>
  <c r="C11" i="9" s="1"/>
  <c r="F29" i="6"/>
  <c r="D17" i="8"/>
  <c r="D14" i="6"/>
  <c r="D9" i="9"/>
  <c r="D11" i="9" s="1"/>
  <c r="C17" i="8"/>
  <c r="E14" i="6"/>
  <c r="E9" i="9"/>
  <c r="E11" i="9" s="1"/>
  <c r="D11" i="4"/>
  <c r="D27" i="5"/>
  <c r="B14" i="3"/>
  <c r="C14" i="3" s="1"/>
  <c r="D14" i="3" s="1"/>
  <c r="E14" i="3" s="1"/>
  <c r="D15" i="4"/>
  <c r="D17" i="4" s="1"/>
  <c r="C10" i="5"/>
  <c r="C11" i="5" s="1"/>
  <c r="C13" i="5" s="1"/>
  <c r="E15" i="4"/>
  <c r="E17" i="4" s="1"/>
  <c r="D10" i="5"/>
  <c r="D11" i="5" s="1"/>
  <c r="C7" i="4"/>
  <c r="C25" i="5" s="1"/>
  <c r="E10" i="5"/>
  <c r="E11" i="5" s="1"/>
  <c r="D12" i="3"/>
  <c r="E12" i="3" s="1"/>
  <c r="D7" i="4"/>
  <c r="D25" i="5" s="1"/>
  <c r="D28" i="5" s="1"/>
  <c r="B22" i="2"/>
  <c r="F37" i="6"/>
  <c r="E40" i="6"/>
  <c r="D11" i="7"/>
  <c r="F39" i="6"/>
  <c r="C6" i="3"/>
  <c r="D6" i="3" s="1"/>
  <c r="B7" i="3"/>
  <c r="C9" i="4"/>
  <c r="E9" i="4"/>
  <c r="D57" i="28" l="1"/>
  <c r="C53" i="28"/>
  <c r="D23" i="25"/>
  <c r="E23" i="25"/>
  <c r="E53" i="23"/>
  <c r="E54" i="23" s="1"/>
  <c r="C64" i="23"/>
  <c r="D53" i="23"/>
  <c r="D54" i="23" s="1"/>
  <c r="C15" i="5"/>
  <c r="C13" i="9"/>
  <c r="D8" i="8"/>
  <c r="D26" i="9" s="1"/>
  <c r="E8" i="8"/>
  <c r="E26" i="9" s="1"/>
  <c r="C8" i="8"/>
  <c r="E29" i="6"/>
  <c r="G29" i="6" s="1"/>
  <c r="E39" i="6" s="1"/>
  <c r="D32" i="8"/>
  <c r="E33" i="6"/>
  <c r="G33" i="6" s="1"/>
  <c r="E38" i="6"/>
  <c r="E28" i="6"/>
  <c r="D28" i="6"/>
  <c r="G28" i="6" s="1"/>
  <c r="C32" i="8"/>
  <c r="C6" i="7" s="1"/>
  <c r="D38" i="6"/>
  <c r="D22" i="4"/>
  <c r="D24" i="4" s="1"/>
  <c r="E11" i="4"/>
  <c r="E22" i="4" s="1"/>
  <c r="E24" i="4" s="1"/>
  <c r="E27" i="5"/>
  <c r="E28" i="5" s="1"/>
  <c r="C27" i="5"/>
  <c r="B15" i="3"/>
  <c r="F41" i="6"/>
  <c r="F42" i="6" s="1"/>
  <c r="E31" i="9"/>
  <c r="E22" i="8"/>
  <c r="D23" i="8"/>
  <c r="D32" i="9"/>
  <c r="D7" i="3"/>
  <c r="E6" i="5"/>
  <c r="E13" i="5" s="1"/>
  <c r="C7" i="3"/>
  <c r="D6" i="5"/>
  <c r="D13" i="5" s="1"/>
  <c r="D15" i="5" s="1"/>
  <c r="E6" i="3"/>
  <c r="E7" i="3" s="1"/>
  <c r="D60" i="28" l="1"/>
  <c r="E56" i="28" s="1"/>
  <c r="D59" i="28"/>
  <c r="C65" i="23"/>
  <c r="D6" i="7"/>
  <c r="C7" i="7"/>
  <c r="D6" i="9"/>
  <c r="D13" i="9" s="1"/>
  <c r="D15" i="9" s="1"/>
  <c r="D37" i="6"/>
  <c r="D41" i="6" s="1"/>
  <c r="D42" i="6" s="1"/>
  <c r="C49" i="6"/>
  <c r="C51" i="6" s="1"/>
  <c r="B11" i="7"/>
  <c r="B13" i="7" s="1"/>
  <c r="D40" i="6"/>
  <c r="C23" i="8" s="1"/>
  <c r="D39" i="6"/>
  <c r="E37" i="6"/>
  <c r="C11" i="7"/>
  <c r="C13" i="7" s="1"/>
  <c r="C12" i="7"/>
  <c r="D12" i="7" s="1"/>
  <c r="C26" i="9"/>
  <c r="C15" i="9"/>
  <c r="C22" i="5"/>
  <c r="B16" i="3"/>
  <c r="B22" i="3" s="1"/>
  <c r="D11" i="3"/>
  <c r="C13" i="3"/>
  <c r="C15" i="3"/>
  <c r="C26" i="4"/>
  <c r="D26" i="4" s="1"/>
  <c r="E26" i="4" s="1"/>
  <c r="E41" i="6"/>
  <c r="E42" i="6" s="1"/>
  <c r="D31" i="9"/>
  <c r="D22" i="8"/>
  <c r="C32" i="9"/>
  <c r="E15" i="5"/>
  <c r="E57" i="28" l="1"/>
  <c r="C22" i="8"/>
  <c r="C31" i="9"/>
  <c r="D13" i="7"/>
  <c r="E12" i="7"/>
  <c r="E13" i="7" s="1"/>
  <c r="C52" i="6"/>
  <c r="C53" i="6" s="1"/>
  <c r="D7" i="7"/>
  <c r="E6" i="9"/>
  <c r="E13" i="9" s="1"/>
  <c r="E6" i="7"/>
  <c r="E7" i="7" s="1"/>
  <c r="E11" i="3"/>
  <c r="D13" i="3"/>
  <c r="D15" i="3"/>
  <c r="D19" i="3"/>
  <c r="C20" i="3"/>
  <c r="C16" i="3"/>
  <c r="D22" i="5"/>
  <c r="D30" i="5" s="1"/>
  <c r="C32" i="5"/>
  <c r="E59" i="28" l="1"/>
  <c r="E60" i="28" s="1"/>
  <c r="F56" i="28" s="1"/>
  <c r="C22" i="3"/>
  <c r="D32" i="5"/>
  <c r="E15" i="9"/>
  <c r="D56" i="6"/>
  <c r="B14" i="7"/>
  <c r="B15" i="7" s="1"/>
  <c r="E19" i="3"/>
  <c r="E20" i="3" s="1"/>
  <c r="D20" i="3"/>
  <c r="D16" i="3"/>
  <c r="D22" i="3" s="1"/>
  <c r="E22" i="5"/>
  <c r="E30" i="5" s="1"/>
  <c r="E13" i="3"/>
  <c r="E15" i="3"/>
  <c r="E16" i="3" s="1"/>
  <c r="F57" i="28" l="1"/>
  <c r="F59" i="28" s="1"/>
  <c r="D57" i="6"/>
  <c r="D59" i="6" s="1"/>
  <c r="C9" i="8" s="1"/>
  <c r="B16" i="7"/>
  <c r="B22" i="7" s="1"/>
  <c r="C22" i="9"/>
  <c r="E22" i="3"/>
  <c r="E32" i="5"/>
  <c r="F60" i="28" l="1"/>
  <c r="C11" i="8"/>
  <c r="C19" i="8" s="1"/>
  <c r="C27" i="9"/>
  <c r="C28" i="9" s="1"/>
  <c r="C36" i="9" s="1"/>
  <c r="D60" i="6"/>
  <c r="C24" i="8"/>
  <c r="C25" i="8" s="1"/>
  <c r="C33" i="9"/>
  <c r="C34" i="9" s="1"/>
  <c r="E56" i="6" l="1"/>
  <c r="C14" i="7"/>
  <c r="C15" i="7" s="1"/>
  <c r="C27" i="8"/>
  <c r="C29" i="8" l="1"/>
  <c r="C19" i="7"/>
  <c r="C20" i="7" s="1"/>
  <c r="C16" i="7"/>
  <c r="C22" i="7" s="1"/>
  <c r="D22" i="9"/>
  <c r="E57" i="6"/>
  <c r="E59" i="6"/>
  <c r="D9" i="8" s="1"/>
  <c r="C38" i="9"/>
  <c r="D11" i="8"/>
  <c r="D19" i="8" s="1"/>
  <c r="D27" i="9"/>
  <c r="D28" i="9" s="1"/>
  <c r="D33" i="9" l="1"/>
  <c r="D34" i="9" s="1"/>
  <c r="D36" i="9" s="1"/>
  <c r="D24" i="8"/>
  <c r="D25" i="8" s="1"/>
  <c r="D27" i="8" s="1"/>
  <c r="E60" i="6"/>
  <c r="D19" i="7" l="1"/>
  <c r="D29" i="8"/>
  <c r="F56" i="6"/>
  <c r="F57" i="6" s="1"/>
  <c r="F59" i="6" s="1"/>
  <c r="D14" i="7"/>
  <c r="D15" i="7" s="1"/>
  <c r="D20" i="7"/>
  <c r="E33" i="9"/>
  <c r="E34" i="9" s="1"/>
  <c r="E24" i="8"/>
  <c r="E25" i="8" s="1"/>
  <c r="D22" i="7" l="1"/>
  <c r="E22" i="9"/>
  <c r="D16" i="7"/>
  <c r="D38" i="9"/>
  <c r="E9" i="8"/>
  <c r="F60" i="6"/>
  <c r="E14" i="7" s="1"/>
  <c r="E15" i="7" s="1"/>
  <c r="E16" i="7" s="1"/>
  <c r="E27" i="9" l="1"/>
  <c r="E28" i="9" s="1"/>
  <c r="E36" i="9" s="1"/>
  <c r="E38" i="9" s="1"/>
  <c r="E11" i="8"/>
  <c r="E19" i="8" s="1"/>
  <c r="E27" i="8" s="1"/>
  <c r="E29" i="8" l="1"/>
  <c r="E19" i="7"/>
  <c r="E20" i="7" s="1"/>
  <c r="E2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Paco Martinez Checa</author>
  </authors>
  <commentList>
    <comment ref="D80" authorId="0" shapeId="0" xr:uid="{30261D1B-3DEE-4B5A-9FB4-13E5573490D7}">
      <text>
        <r>
          <rPr>
            <b/>
            <sz val="9"/>
            <color indexed="81"/>
            <rFont val="Tahoma"/>
            <family val="2"/>
          </rPr>
          <t>Paco Martinez Checa:</t>
        </r>
        <r>
          <rPr>
            <sz val="9"/>
            <color indexed="81"/>
            <rFont val="Tahoma"/>
            <family val="2"/>
          </rPr>
          <t xml:space="preserve">
No release in Y1 — loss component just created at period end</t>
        </r>
      </text>
    </comment>
    <comment ref="E80" authorId="0" shapeId="0" xr:uid="{DCF594CF-A74D-457F-B1FA-215E0BA1779B}">
      <text>
        <r>
          <rPr>
            <b/>
            <sz val="9"/>
            <color indexed="81"/>
            <rFont val="Tahoma"/>
            <family val="2"/>
          </rPr>
          <t>Paco Martinez Checa:</t>
        </r>
        <r>
          <rPr>
            <sz val="9"/>
            <color indexed="81"/>
            <rFont val="Tahoma"/>
            <family val="2"/>
          </rPr>
          <t xml:space="preserve">
Released proportionally: expected revised outflows / opening BEL</t>
        </r>
      </text>
    </comment>
    <comment ref="F80" authorId="0" shapeId="0" xr:uid="{4AD8FDD8-B762-4EC2-8FAD-6EE829EEA114}">
      <text>
        <r>
          <rPr>
            <b/>
            <sz val="9"/>
            <color indexed="81"/>
            <rFont val="Tahoma"/>
            <family val="2"/>
          </rPr>
          <t>Paco Martinez Checa:</t>
        </r>
        <r>
          <rPr>
            <sz val="9"/>
            <color indexed="81"/>
            <rFont val="Tahoma"/>
            <family val="2"/>
          </rPr>
          <t xml:space="preserve">
Final year: remaining loss component fully released</t>
        </r>
      </text>
    </comment>
  </commentList>
</comments>
</file>

<file path=xl/sharedStrings.xml><?xml version="1.0" encoding="utf-8"?>
<sst xmlns="http://schemas.openxmlformats.org/spreadsheetml/2006/main" count="912" uniqueCount="343">
  <si>
    <t>IFRS 17 — Simple Insurance Example</t>
  </si>
  <si>
    <t>Contract Details</t>
  </si>
  <si>
    <t>Coverage period (years)</t>
  </si>
  <si>
    <t>Discount rate</t>
  </si>
  <si>
    <t>Cash Flows at Inception</t>
  </si>
  <si>
    <t>Total</t>
  </si>
  <si>
    <t>Per Year</t>
  </si>
  <si>
    <t>Premiums collected (upfront)</t>
  </si>
  <si>
    <t>Expected claims</t>
  </si>
  <si>
    <t>Expected expenses</t>
  </si>
  <si>
    <t>Risk Adjustment (total)</t>
  </si>
  <si>
    <t>Building Blocks at Inception</t>
  </si>
  <si>
    <t>Risk Adjustment</t>
  </si>
  <si>
    <t>Contractual Service Margin (CSM)</t>
  </si>
  <si>
    <t>Total Insurance Liability at Inception</t>
  </si>
  <si>
    <t>Release Pattern</t>
  </si>
  <si>
    <t>CSM release per year</t>
  </si>
  <si>
    <t>RA release per year</t>
  </si>
  <si>
    <t>How it works:</t>
  </si>
  <si>
    <t>3. The CSM is the 'unearned profit' — it smooths profit recognition over the coverage period</t>
  </si>
  <si>
    <t>BALANCE SHEET</t>
  </si>
  <si>
    <t>Insurance Company — IFRS 17 Example</t>
  </si>
  <si>
    <t>Year 1</t>
  </si>
  <si>
    <t>Year 2</t>
  </si>
  <si>
    <t>Year 3</t>
  </si>
  <si>
    <t>ASSETS</t>
  </si>
  <si>
    <t xml:space="preserve">  Cash &amp; Investments</t>
  </si>
  <si>
    <t>Total Assets</t>
  </si>
  <si>
    <t>LIABILITIES</t>
  </si>
  <si>
    <t>Insurance Contract Liability:</t>
  </si>
  <si>
    <t xml:space="preserve">  Risk Adjustment</t>
  </si>
  <si>
    <t xml:space="preserve">  Contractual Service Margin (CSM)</t>
  </si>
  <si>
    <t>Total Insurance Liability</t>
  </si>
  <si>
    <t>Total Liabilities</t>
  </si>
  <si>
    <t>EQUITY</t>
  </si>
  <si>
    <t xml:space="preserve">  Retained Earnings</t>
  </si>
  <si>
    <t>Total Equity</t>
  </si>
  <si>
    <t>CHECK: Assets = Liabilities + Equity</t>
  </si>
  <si>
    <t>INCOME STATEMENT (P&amp;L)</t>
  </si>
  <si>
    <t>INSURANCE REVENUE</t>
  </si>
  <si>
    <t xml:space="preserve">  Risk Adjustment release</t>
  </si>
  <si>
    <t xml:space="preserve">  CSM release (earned profit)</t>
  </si>
  <si>
    <t>Total Insurance Revenue</t>
  </si>
  <si>
    <t>INSURANCE SERVICE EXPENSE</t>
  </si>
  <si>
    <t xml:space="preserve">  Actual claims incurred</t>
  </si>
  <si>
    <t xml:space="preserve">  Actual expenses incurred</t>
  </si>
  <si>
    <t>Total Insurance Service Expense</t>
  </si>
  <si>
    <t>INSURANCE SERVICE RESULT</t>
  </si>
  <si>
    <t>Net Income</t>
  </si>
  <si>
    <t>Cumulative Profit</t>
  </si>
  <si>
    <t>KEY INSIGHT:</t>
  </si>
  <si>
    <t>Revenue ≠ Premiums! Revenue = expected costs released + RA released + CSM released</t>
  </si>
  <si>
    <t>Cash outflows (for BS link)</t>
  </si>
  <si>
    <t xml:space="preserve">  Total cash paid out (claims + expenses)</t>
  </si>
  <si>
    <t>CASH FLOW RECONCILIATION</t>
  </si>
  <si>
    <t>Ties Balance Sheet cash movement to P&amp;L and liability changes</t>
  </si>
  <si>
    <t>Opening Cash</t>
  </si>
  <si>
    <t>Cash outflows:</t>
  </si>
  <si>
    <t xml:space="preserve">  Claims paid</t>
  </si>
  <si>
    <t xml:space="preserve">  Expenses paid</t>
  </si>
  <si>
    <t>Total Cash Outflows</t>
  </si>
  <si>
    <t>Closing Cash</t>
  </si>
  <si>
    <t>CHECK: Ties to Balance Sheet</t>
  </si>
  <si>
    <t>LIABILITY ROLLFORWARD</t>
  </si>
  <si>
    <t>Shows how the insurance liability changes each year</t>
  </si>
  <si>
    <t>Opening Liability</t>
  </si>
  <si>
    <t>Releases to P&amp;L (reduce liability):</t>
  </si>
  <si>
    <t xml:space="preserve">  CSM release</t>
  </si>
  <si>
    <t>Total Liability Release</t>
  </si>
  <si>
    <t>Closing Liability</t>
  </si>
  <si>
    <t>KEY CONNECTION:</t>
  </si>
  <si>
    <t>Liability release (333.3) = Insurance Revenue (333.3) on P&amp;L</t>
  </si>
  <si>
    <t>Of which: 250 covers costs (claims+expenses), leaving 83.3 as profit (CSM + RA release)</t>
  </si>
  <si>
    <t>Cash out (250/yr) ≠ Revenue (333.3/yr) — this is the key IFRS 17 difference!</t>
  </si>
  <si>
    <t>The CSM release (53.3/yr) + RA release (30/yr) = 83.3 profit per year</t>
  </si>
  <si>
    <t>Total profit over 3 years = 250 = CSM (160) + RA (90) = Premium (1,000) - Claims (600) - Expenses (150)</t>
  </si>
  <si>
    <t>BEL (Best Estimate Liability)</t>
  </si>
  <si>
    <t xml:space="preserve">  BEL release — expected claims</t>
  </si>
  <si>
    <t xml:space="preserve">  BEL release — expected expenses</t>
  </si>
  <si>
    <t xml:space="preserve">  BEL release (expected costs)</t>
  </si>
  <si>
    <t xml:space="preserve">  BEL (Best Estimate Liability)</t>
  </si>
  <si>
    <t>Fulfilment Cash Flows (BEL + RA)</t>
  </si>
  <si>
    <t>← Simple / toy model tabs are to the right of this divider</t>
  </si>
  <si>
    <t>CONTRACT DETAILS</t>
  </si>
  <si>
    <t>UNDISCOUNTED CASH FLOWS</t>
  </si>
  <si>
    <t>Total undiscounted outflows</t>
  </si>
  <si>
    <t>Risk Adjustment (total, undiscounted)</t>
  </si>
  <si>
    <t>YIELD CURVE (Spot Rates)</t>
  </si>
  <si>
    <t>1Y Spot</t>
  </si>
  <si>
    <t>2Y Spot</t>
  </si>
  <si>
    <t>3Y Spot</t>
  </si>
  <si>
    <t>Curve at Inception (t=0)</t>
  </si>
  <si>
    <t>Curve at End Year 1 (t=1)</t>
  </si>
  <si>
    <t>Curve at End Year 2 (t=2)</t>
  </si>
  <si>
    <t>← blue = input</t>
  </si>
  <si>
    <t>DISCOUNT FACTORS</t>
  </si>
  <si>
    <t>DF 1Y</t>
  </si>
  <si>
    <t>DF 2Y</t>
  </si>
  <si>
    <t>DF 3Y</t>
  </si>
  <si>
    <t>DFs at Inception (t=0)</t>
  </si>
  <si>
    <t>DFs at End Year 1 (t=1)</t>
  </si>
  <si>
    <t>DFs at End Year 2 (t=2)</t>
  </si>
  <si>
    <t>BEL (DISCOUNTED) AT EACH DATE</t>
  </si>
  <si>
    <t>PV of Y1 CFs</t>
  </si>
  <si>
    <t>PV of Y2 CFs</t>
  </si>
  <si>
    <t>PV of Y3 CFs</t>
  </si>
  <si>
    <t>BEL Total</t>
  </si>
  <si>
    <t>BEL at Inception (t=0)</t>
  </si>
  <si>
    <t>BEL at End Year 1 (t=1) — using NEW curve</t>
  </si>
  <si>
    <t>BEL at End Year 2 (t=2) — using NEW curve</t>
  </si>
  <si>
    <t>BEL at End Year 3 (t=3)</t>
  </si>
  <si>
    <t>BEL at End Year 1 — using OLD curve (for accretion calc)</t>
  </si>
  <si>
    <t>BEL at End Year 2 — using OLD curve (for accretion calc)</t>
  </si>
  <si>
    <t>BEL ROLLFORWARD COMPONENTS</t>
  </si>
  <si>
    <t>Opening BEL</t>
  </si>
  <si>
    <t xml:space="preserve">  Less: BEL release (expected outflows for the year)</t>
  </si>
  <si>
    <t xml:space="preserve">  Accretion (discount unwind)</t>
  </si>
  <si>
    <t xml:space="preserve">  Effect of discount rate changes</t>
  </si>
  <si>
    <t>Closing BEL</t>
  </si>
  <si>
    <t>CHECK: Closing BEL ties to BEL calc above</t>
  </si>
  <si>
    <t>RISK ADJUSTMENT</t>
  </si>
  <si>
    <t>RA at Inception</t>
  </si>
  <si>
    <t>RA release per year (evenly over coverage)</t>
  </si>
  <si>
    <t>BUILDING BLOCKS AT INCEPTION</t>
  </si>
  <si>
    <t>BEL (discounted)</t>
  </si>
  <si>
    <t>CSM ROLLFORWARD</t>
  </si>
  <si>
    <t>Opening CSM</t>
  </si>
  <si>
    <t xml:space="preserve">  CSM accretion (interest on CSM)</t>
  </si>
  <si>
    <t xml:space="preserve">  CSM release (to P&amp;L as revenue)</t>
  </si>
  <si>
    <t>Closing CSM</t>
  </si>
  <si>
    <t>IFRS 17 — Enhanced Model with Discounting</t>
  </si>
  <si>
    <t>INSURANCE FINANCE INCOME / (EXPENSE)</t>
  </si>
  <si>
    <t xml:space="preserve">  Accretion of BEL (discount unwind)</t>
  </si>
  <si>
    <t>Total Insurance Finance Income / (Expense)</t>
  </si>
  <si>
    <t>NET INCOME</t>
  </si>
  <si>
    <t xml:space="preserve">  (Rate changes go through P&amp;L, not CSM)</t>
  </si>
  <si>
    <t>Total Releases</t>
  </si>
  <si>
    <t>Insurance Finance (increase liability):</t>
  </si>
  <si>
    <t xml:space="preserve">  BEL accretion (discount unwind)</t>
  </si>
  <si>
    <t xml:space="preserve">  CSM accretion</t>
  </si>
  <si>
    <t>Total Insurance Finance</t>
  </si>
  <si>
    <t xml:space="preserve">  Accretion of CSM</t>
  </si>
  <si>
    <t>IFRS 17 — Example with discounting</t>
  </si>
  <si>
    <t>Simplifications:</t>
  </si>
  <si>
    <t>• No discounting (0% discount rate) — all cash flows at nominal value</t>
  </si>
  <si>
    <t>• Assets consist solely of cash (no investment portfolio or investment income)</t>
  </si>
  <si>
    <t>• Claims and expenses are equal each year (symmetric risk profile)</t>
  </si>
  <si>
    <t>• Risk Adjustment released linearly over the coverage period</t>
  </si>
  <si>
    <t>• All insurance finance income/expense flows through P&amp;L (no OCI election)</t>
  </si>
  <si>
    <t>• Claims and expenses are equal each year; RA released linearly</t>
  </si>
  <si>
    <t>IFRS 17 — Experience Variance (Option A)</t>
  </si>
  <si>
    <t>• Actual claims exceed expected, but insurer does NOT re-estimate future claims</t>
  </si>
  <si>
    <t>EXPECTED CASH FLOWS (at inception)</t>
  </si>
  <si>
    <t>Total expected undiscounted outflows</t>
  </si>
  <si>
    <t>ACTUAL CASH FLOWS</t>
  </si>
  <si>
    <t>Actual claims</t>
  </si>
  <si>
    <t>Actual expenses</t>
  </si>
  <si>
    <t>Total actual outflows</t>
  </si>
  <si>
    <t xml:space="preserve">  Actual claims paid</t>
  </si>
  <si>
    <t xml:space="preserve">  Actual expenses paid</t>
  </si>
  <si>
    <t>IFRS 17 — Re-estimation (Option B)</t>
  </si>
  <si>
    <t>• Actual claims exceed expected; insurer re-estimates future claims at end of Year 1</t>
  </si>
  <si>
    <t>• CSM absorbs the BEL increase from re-estimation (no onerous contract)</t>
  </si>
  <si>
    <t>• Assets consist solely of cash; all finance through P&amp;L (no OCI)</t>
  </si>
  <si>
    <t>ORIGINAL EXPECTED CASH FLOWS (at inception)</t>
  </si>
  <si>
    <t>REVISED EXPECTED CASH FLOWS (at end of Year 1)</t>
  </si>
  <si>
    <t>Revised expected claims</t>
  </si>
  <si>
    <t>Expected expenses (unchanged)</t>
  </si>
  <si>
    <t>Total revised outflows</t>
  </si>
  <si>
    <t>BEL at Inception (t=0) — original estimates</t>
  </si>
  <si>
    <t>BEL at End Y1 (t=1) — original estimates, NEW curve</t>
  </si>
  <si>
    <t>BEL at End Y1 (t=1) — REVISED estimates, NEW curve</t>
  </si>
  <si>
    <t>BEL at End Y2 (t=2) — revised estimates, NEW curve</t>
  </si>
  <si>
    <t>BEL at End Y3 (t=3)</t>
  </si>
  <si>
    <t>BEL at End Y1 — using OLD curve (for accretion)</t>
  </si>
  <si>
    <t>BEL at End Y2 — using OLD curve (for accretion)</t>
  </si>
  <si>
    <t xml:space="preserve">  Less: BEL release (expected outflows)</t>
  </si>
  <si>
    <t xml:space="preserve">  Changes in estimates (re-estimation)</t>
  </si>
  <si>
    <t>CHECK: Closing BEL ties</t>
  </si>
  <si>
    <t xml:space="preserve">  Absorption of BEL re-estimation</t>
  </si>
  <si>
    <t xml:space="preserve">  BEL accretion</t>
  </si>
  <si>
    <t>Changes in estimates (BEL ↑, CSM ↓)</t>
  </si>
  <si>
    <t>IFRS 17 FINANCIAL STATEMENTS</t>
  </si>
  <si>
    <t>ABOUT THIS FILE</t>
  </si>
  <si>
    <t>MODEL STRUCTURE</t>
  </si>
  <si>
    <t>The workbook is organised into four progressive versions, each separated by a divider tab:</t>
  </si>
  <si>
    <t>Version</t>
  </si>
  <si>
    <t>Divider Tab</t>
  </si>
  <si>
    <t>Description</t>
  </si>
  <si>
    <t>Sheets</t>
  </si>
  <si>
    <t>v1 — Simple Model</t>
  </si>
  <si>
    <t>Simple Model →</t>
  </si>
  <si>
    <t>Assumptions (v1), P&amp;L (v1), Balance Sheet (v1), Cash Flow (v1)</t>
  </si>
  <si>
    <t>v2 — Add Discounting</t>
  </si>
  <si>
    <t>Add discounting →</t>
  </si>
  <si>
    <t>Experience Variance →</t>
  </si>
  <si>
    <t>Re-estimation (Option B) →</t>
  </si>
  <si>
    <t>Assumptions (v4), P&amp;L (v4), Balance Sheet (v4), Cash Flow (v4)</t>
  </si>
  <si>
    <t>KEY FEATURES</t>
  </si>
  <si>
    <t>•  Each version contains a full set of Assumptions, P&amp;L, Balance Sheet, and Cash Flow sheets</t>
  </si>
  <si>
    <t>•  Coloured divider tabs separate the versions for easy navigation</t>
  </si>
  <si>
    <t>•  All financial statements are fully linked — changes in assumptions flow through automatically</t>
  </si>
  <si>
    <t>•  The Cash Flow Reconciliation ties Balance Sheet cash movements to P&amp;L and liability changes</t>
  </si>
  <si>
    <t>HOW TO USE</t>
  </si>
  <si>
    <t>Created by Francisco Martinez Checa — April 2026</t>
  </si>
  <si>
    <t>A step-by-step model of IFRS 17 accounting mechanics</t>
  </si>
  <si>
    <t>This workbook is a teaching model that illustrates IFRS 17 (Insurance Contracts) through a progressive series of examples. It follows a single hypothetical insurance contract — a 3-year coverage period policy with 1,000 in upfront premiums — across four increasingly realistic scenarios. Each version builds a complete set of financial statements (Income Statement, Balance Sheet, and Cash Flow Reconciliation) so you can trace exactly how each new concept changes the numbers. The model decomposes the insurance liability into its IFRS 17 building blocks: Best Estimate Liability (BEL), Risk Adjustment (RA), and Contractual Service Margin (CSM), and shows how each block rolls forward period by period.</t>
  </si>
  <si>
    <t>Builds on v1 by introducing a yield curve to discount future cash flows to present value. The BEL drops from 750 (nominal) to ~698 (discounted), which increases the CSM to ~212. Each period, the BEL and CSM accrete interest (discount unwind), and the model tracks BEL rollforward components: opening balance, expected outflow releases, accretion, and discount rate changes. Insurance finance income/expense flows entirely through P&amp;L (no OCI election). This version shows how time value of money affects profit emergence and liability measurement.</t>
  </si>
  <si>
    <t>Start with Version 1 to master the building blocks (BEL, RA, CSM) and the core revenue recognition mechanics. Move to Version 2 to understand how discounting changes liability measurement, profit emergence, and introduces accretion. Then compare Versions 3 and 4 side by side: they share the same actual cash flows but differ in whether the insurer re-estimates future assumptions — this contrast highlights the critical accounting policy choice and its impact on profit timing. In each version, compare the Assumptions tab to the prior version to see exactly what changed.</t>
  </si>
  <si>
    <t>Assumptions (v2), P&amp;L (v2), Balance Sheet (v2), Cash Flow (v2)</t>
  </si>
  <si>
    <t>•  Assets consist solely of cash (no investment portfolio)</t>
  </si>
  <si>
    <t>v3a — Experience Variance (no re-estimation)</t>
  </si>
  <si>
    <t>v3b — Experience Variance (with re-estimation)</t>
  </si>
  <si>
    <t>Introduces a real-world complication: actual claims of 250/year exceed the expected 200/year, creating a 50/year experience variance. Critically, the insurer does NOT revise its future assumptions — it treats each year's overrun as a one-off. The BEL rollforward and CSM rollforward remain identical to v2 (since expectations are unchanged), but the P&amp;L shows higher incurred claims, reducing net profit. This version isolates the impact of experience variance on the income statement without any feedback into the liability measurement. Compare with v3b to see how the same actual experience leads to very different financial statements depending on the re-estimation decision.</t>
  </si>
  <si>
    <t>Same actual cash flows as v3a — Year 1 claims are 250 vs. 200 expected — but here the insurer re-estimates future claims upward to 250/year for Years 2 and 3. This creates a BEL increase of ~95 at end of Year 1 (the present value of the additional 50/year for two remaining years). Under IFRS 17, this BEL increase is absorbed by the CSM — reducing it from ~145 to ~82 — rather than hitting the P&amp;L immediately (since the contract is not onerous). The CSM release in subsequent years is therefore lower, spreading the impact of adverse experience over the remaining coverage period. Compare with v3a to see how the re-estimation decision shifts profit timing.</t>
  </si>
  <si>
    <t>Assumptions (v3a), P&amp;L (v3a), Balance Sheet (v3a), Cash Flow (v3a)</t>
  </si>
  <si>
    <t>Assumptions (v3b), P&amp;L (v3b), Balance Sheet (v3b), Cash Flow (v3b)</t>
  </si>
  <si>
    <t>IFRS 17 — Onerous Contract (Loss Component)</t>
  </si>
  <si>
    <t>• Actual claims far exceed expected; insurer re-estimates → CSM is exhausted → Loss Component created</t>
  </si>
  <si>
    <t>• Loss recognised immediately in P&amp;L; Loss Component released over remaining coverage period</t>
  </si>
  <si>
    <t xml:space="preserve">  Subtotal before floor test</t>
  </si>
  <si>
    <t xml:space="preserve">  Loss recognised (excess over CSM)</t>
  </si>
  <si>
    <t>LOSS COMPONENT ROLLFORWARD</t>
  </si>
  <si>
    <t>Opening Loss Component</t>
  </si>
  <si>
    <t xml:space="preserve">  Loss recognised in period</t>
  </si>
  <si>
    <t xml:space="preserve">  Release of Loss Component</t>
  </si>
  <si>
    <t xml:space="preserve">    (proportion: expected outflows / opening BEL)</t>
  </si>
  <si>
    <t>Closing Loss Component</t>
  </si>
  <si>
    <t xml:space="preserve">  Losses on onerous contracts</t>
  </si>
  <si>
    <t xml:space="preserve">  Loss Component (memo — within FCF)</t>
  </si>
  <si>
    <t>Changes in estimates (BEL re-estimation)</t>
  </si>
  <si>
    <t>CSM absorption of re-estimation</t>
  </si>
  <si>
    <t>Loss Component created (excess over CSM)</t>
  </si>
  <si>
    <t>v4 — Onerous Contract (Loss Component)</t>
  </si>
  <si>
    <t>Actual claims far exceed expectations → CSM exhausted → loss recognised immediately</t>
  </si>
  <si>
    <t>Onerous Contract →</t>
  </si>
  <si>
    <t>Takes the re-estimation concept from v3b to its extreme: actual claims are 400/year (double the expected 200), and the insurer re-estimates at end of Year 1. The BEL increase of ~381 far exceeds the available CSM of ~218, exhausting it completely. Under IFRS 17 paragraph 48, the excess of ~163 is recognised as an immediate loss in the P&amp;L, and a Loss Component is established within the liability. In Years 2 and 3, no CSM is released (it’s zero), so the only “profit” is the RA release. The Loss Component is released proportionally as revised expected outflows occur. This version shows the asymmetric treatment of good and bad news: profits are deferred (CSM), but losses are recognised immediately.</t>
  </si>
  <si>
    <t xml:space="preserve">  Subtotal</t>
  </si>
  <si>
    <t>1. The premium creates a balanced entry: cash +1,000 on the asset side and insurance liability +1,000 on the liability side</t>
  </si>
  <si>
    <t xml:space="preserve">    The CSM acts as the plug that forces Day 1 profit to zero (Liability = BEL + RA + CSM = Premium)</t>
  </si>
  <si>
    <t>2. Revenue then emerges over the coverage period as the liability components (BEL, RA, CSM) are released to the P&amp;L</t>
  </si>
  <si>
    <t>The foundation case. A 3-year insurance contract with 1,000 in premiums collected upfront, 600 in expected claims, 150 in expected expenses, and a 90 Risk Adjustment — all at nominal value (0% discount rate). The CSM of 160 represents the unearned profit and is released evenly over 3 years. Claims and expenses are symmetric each period, so there is no experience variance. This version establishes the core IFRS 17 mechanics: no Day 1 profit (premiums create equal entries on asset and liability sides), and revenue emerges over time as the liability is released to the P&amp;L.</t>
  </si>
  <si>
    <t>4. In this version, actual claims = expected claims each year</t>
  </si>
  <si>
    <t>IFRS 17 — Reinsurance Held (Proportional Quota Share)</t>
  </si>
  <si>
    <t>Built on v2 (discounting) — gross contract is identical to v2. This version adds a 20% quota share reinsurance treaty.</t>
  </si>
  <si>
    <t>• Gross contract: same as v2 — 1,000 premium, 600 claims, 150 expenses, 90 RA, 3% / 3.5% / 4% yield curve</t>
  </si>
  <si>
    <t>• Reinsurance: 20% proportional quota share — reinsurer receives 20% of premiums, pays 20% of claims and expenses</t>
  </si>
  <si>
    <t>• Reinsurance contract held is accounted for SEPARATELY from the gross contract (no offsetting)</t>
  </si>
  <si>
    <t>REINSURANCE TREATY</t>
  </si>
  <si>
    <t>Quota share percentage</t>
  </si>
  <si>
    <t>Reinsurance premium paid (upfront)</t>
  </si>
  <si>
    <t>CEDED CASH FLOWS (to reinsurer)</t>
  </si>
  <si>
    <t>Ceded claims (recoveries from reinsurer)</t>
  </si>
  <si>
    <t>Ceded expenses (recoveries from reinsurer)</t>
  </si>
  <si>
    <t>Total ceded outflows (reinsurer pays)</t>
  </si>
  <si>
    <t>CEDED BEL (Reinsurance Recoveries, discounted)</t>
  </si>
  <si>
    <t>Ceded BEL at Inception (t=0)</t>
  </si>
  <si>
    <t>Ceded BEL at End Y1 (t=1) — using NEW curve</t>
  </si>
  <si>
    <t>Ceded BEL at End Y2 (t=2) — using NEW curve</t>
  </si>
  <si>
    <t>Ceded BEL at End Y3 (t=3)</t>
  </si>
  <si>
    <t>Ceded BEL at End Y1 — using OLD curve (for accretion)</t>
  </si>
  <si>
    <t>Ceded BEL at End Y2 — using OLD curve (for accretion)</t>
  </si>
  <si>
    <t>CEDED BEL ROLLFORWARD</t>
  </si>
  <si>
    <t>Opening Ceded BEL</t>
  </si>
  <si>
    <t xml:space="preserve">  Less: Ceded BEL release (expected recoveries)</t>
  </si>
  <si>
    <t>Closing Ceded BEL</t>
  </si>
  <si>
    <t>CHECK: Closing Ceded BEL ties to BEL calc above</t>
  </si>
  <si>
    <t>CEDED RISK ADJUSTMENT</t>
  </si>
  <si>
    <t>Ceded RA at Inception (risk transferred to reinsurer)</t>
  </si>
  <si>
    <t>Ceded RA release per year</t>
  </si>
  <si>
    <t>REINSURANCE CONTRACT ASSET — BUILDING BLOCKS AT INCEPTION</t>
  </si>
  <si>
    <t>Ceded BEL (expected recoveries, discounted)</t>
  </si>
  <si>
    <t>Ceded Risk Adjustment (risk transferred)</t>
  </si>
  <si>
    <t>Ceded Fulfilment Cash Flows (BEL + RA)</t>
  </si>
  <si>
    <t>Reinsurance CSM (net cost of reinsurance)</t>
  </si>
  <si>
    <t xml:space="preserve">  → Positive CSM = premium paid EXCEEDS expected recoveries = net cost of reinsurance</t>
  </si>
  <si>
    <t>Total Reinsurance Contract Asset at Inception</t>
  </si>
  <si>
    <t>CHECK: Asset = Premium paid to reinsurer</t>
  </si>
  <si>
    <t>REINSURANCE CSM ROLLFORWARD</t>
  </si>
  <si>
    <t>Opening Reinsurance CSM</t>
  </si>
  <si>
    <t xml:space="preserve">  Reinsurance CSM accretion (interest on CSM)</t>
  </si>
  <si>
    <t xml:space="preserve">  (Rate changes — no impact on reinsurance CSM in this model)</t>
  </si>
  <si>
    <t xml:space="preserve">  Reinsurance CSM release (to P&amp;L as expense)</t>
  </si>
  <si>
    <t>Closing Reinsurance CSM</t>
  </si>
  <si>
    <t>IFRS 17 — Reinsurance Held (built on v2)</t>
  </si>
  <si>
    <t>GROSS INSURANCE REVENUE</t>
  </si>
  <si>
    <t>Total Gross Insurance Revenue</t>
  </si>
  <si>
    <t>GROSS INSURANCE SERVICE EXPENSE</t>
  </si>
  <si>
    <t>Total Gross Insurance Service Expense</t>
  </si>
  <si>
    <t>GROSS INSURANCE SERVICE RESULT</t>
  </si>
  <si>
    <t>REINSURANCE CONTRACT INCOME (ceded)</t>
  </si>
  <si>
    <t>Allocation of reinsurance premium:</t>
  </si>
  <si>
    <t xml:space="preserve">  Ceded BEL release (expected recoveries)</t>
  </si>
  <si>
    <t xml:space="preserve">  Reinsurance CSM release (net cost of reinsurance)</t>
  </si>
  <si>
    <t>Total Allocation of Reinsurance Premium</t>
  </si>
  <si>
    <t>REINSURANCE SERVICE EXPENSE (amounts recovered)</t>
  </si>
  <si>
    <t xml:space="preserve">  Claims recovered from reinsurer</t>
  </si>
  <si>
    <t xml:space="preserve">  Expenses recovered from reinsurer</t>
  </si>
  <si>
    <t>Total Reinsurance Service Expense (recovered)</t>
  </si>
  <si>
    <t>NET REINSURANCE RESULT (cost of reinsurance)</t>
  </si>
  <si>
    <t>NET INSURANCE SERVICE RESULT</t>
  </si>
  <si>
    <t>REINSURANCE FINANCE INCOME / (EXPENSE)</t>
  </si>
  <si>
    <t xml:space="preserve">  Accretion of Ceded BEL</t>
  </si>
  <si>
    <t xml:space="preserve">  Effect of discount rate changes (ceded)</t>
  </si>
  <si>
    <t xml:space="preserve">  Accretion of Reinsurance CSM</t>
  </si>
  <si>
    <t>Total Reinsurance Finance Income / (Expense)</t>
  </si>
  <si>
    <t>GROSS INSURANCE FINANCE INCOME / (EXPENSE)</t>
  </si>
  <si>
    <t>Total Gross Insurance Finance Income / (Expense)</t>
  </si>
  <si>
    <t>Cash flows (for BS link)</t>
  </si>
  <si>
    <t xml:space="preserve">  Gross cash paid out (claims + expenses)</t>
  </si>
  <si>
    <t xml:space="preserve">  Cash recovered from reinsurer</t>
  </si>
  <si>
    <t xml:space="preserve">  Net cash outflow</t>
  </si>
  <si>
    <t>Reinsurance Contract Asset:</t>
  </si>
  <si>
    <t xml:space="preserve">  Ceded BEL (expected recoveries)</t>
  </si>
  <si>
    <t xml:space="preserve">  Ceded Risk Adjustment</t>
  </si>
  <si>
    <t xml:space="preserve">  Ceded Fulfilment Cash Flows</t>
  </si>
  <si>
    <t xml:space="preserve">  Reinsurance CSM (net cost)</t>
  </si>
  <si>
    <t>Total Reinsurance Contract Asset</t>
  </si>
  <si>
    <t xml:space="preserve">  Ceded RA release (risk expired → cost to cedant)</t>
  </si>
  <si>
    <t>Ties Balance Sheet cash movement to P&amp;L and liability/asset changes</t>
  </si>
  <si>
    <t>Gross cash outflows:</t>
  </si>
  <si>
    <t>Reinsurance cash recoveries:</t>
  </si>
  <si>
    <t xml:space="preserve">  Received from reinsurer (20% of claims + expenses)</t>
  </si>
  <si>
    <t>Total Net Cash Outflows</t>
  </si>
  <si>
    <t>REINSURANCE ASSET ROLLFORWARD</t>
  </si>
  <si>
    <t>Shows how the reinsurance contract asset changes each year</t>
  </si>
  <si>
    <t>Opening Reinsurance Asset</t>
  </si>
  <si>
    <t>Releases to P&amp;L (reduce asset):</t>
  </si>
  <si>
    <t xml:space="preserve">  Ceded RA release</t>
  </si>
  <si>
    <t xml:space="preserve">  Reinsurance CSM release (net cost)</t>
  </si>
  <si>
    <t>Reinsurance Finance (increase asset):</t>
  </si>
  <si>
    <t xml:space="preserve">  Ceded BEL accretion</t>
  </si>
  <si>
    <t xml:space="preserve">  Ceded BEL rate changes</t>
  </si>
  <si>
    <t xml:space="preserve">  Reinsurance CSM accretion</t>
  </si>
  <si>
    <t>Total Reinsurance Finance</t>
  </si>
  <si>
    <t>Closing Reinsurance Asset</t>
  </si>
  <si>
    <t>v5 — Reinsurance Contract Held (Proportional Quota Share)</t>
  </si>
  <si>
    <t>20% proportional quota share built on v2 (discounting). Introduces the Reinsurance Contract Asset alongside the Insurance Contract Liability.</t>
  </si>
  <si>
    <t>v5 — Reinsurance Held (Quota Share)</t>
  </si>
  <si>
    <t>Reinsurance Held →</t>
  </si>
  <si>
    <t>Builds on v2 by adding a 20% proportional quota share reinsurance contract. The cedant pays 200 to the reinsurer (20% of 1,000 gross premium) and receives 20% of all claims and expenses as recoveries. A Reinsurance Contract Asset appears on the balance sheet alongside the existing Insurance Contract Liability. The asset has its own building blocks: Ceded BEL (PV of expected recoveries), Ceded RA (risk transferred to reinsurer), and a Reinsurance CSM (net cost of reinsurance, which is released as an expense over the coverage period). The P&amp;L shows gross insurance revenue/expense AND reinsurance income/expense side by side, with net income exactly 80% of v2 — demonstrating the proportional nature of quota share reinsurance.</t>
  </si>
  <si>
    <t>Assumptions (v5), P&amp;L (v5), Balance Sheet (v5), Cash Flow (v5)</t>
  </si>
  <si>
    <t>pacomc999@gmail.com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</si>
</sst>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quot;-&quot;"/>
    <numFmt numFmtId="167" formatCode="#,##0;\(#,##0\);&quot;-&quot;"/>
    <numFmt numFmtId="168" formatCode="0.0000"/>
    <numFmt numFmtId="169" formatCode="d\-mmm\-yy"/>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i/>
      <sz val="11"/>
      <color rgb="FF666666"/>
      <name val="Aptos Narrow"/>
      <family val="2"/>
      <scheme val="minor"/>
    </font>
    <font>
      <sz val="11"/>
      <color rgb="FF0000FF"/>
      <name val="Aptos Narrow"/>
      <family val="2"/>
      <scheme val="minor"/>
    </font>
    <font>
      <b/>
      <sz val="11"/>
      <color rgb="FF0000FF"/>
      <name val="Aptos Narrow"/>
      <family val="2"/>
      <scheme val="minor"/>
    </font>
    <font>
      <sz val="11"/>
      <color rgb="FF999999"/>
      <name val="Aptos Narrow"/>
      <family val="2"/>
      <scheme val="minor"/>
    </font>
    <font>
      <i/>
      <sz val="11"/>
      <color rgb="FF999999"/>
      <name val="Aptos Narrow"/>
      <family val="2"/>
      <scheme val="minor"/>
    </font>
    <font>
      <b/>
      <sz val="11"/>
      <color rgb="FFFF0000"/>
      <name val="Aptos Narrow"/>
      <family val="2"/>
      <scheme val="minor"/>
    </font>
    <font>
      <b/>
      <sz val="11"/>
      <color rgb="FF666666"/>
      <name val="Aptos Narrow"/>
      <family val="2"/>
      <scheme val="minor"/>
    </font>
    <font>
      <b/>
      <sz val="12"/>
      <color theme="1"/>
      <name val="Aptos Narrow"/>
      <family val="2"/>
      <scheme val="minor"/>
    </font>
    <font>
      <b/>
      <sz val="12"/>
      <color rgb="FF666666"/>
      <name val="Aptos Narrow"/>
      <family val="2"/>
      <scheme val="minor"/>
    </font>
    <font>
      <i/>
      <sz val="9"/>
      <color rgb="FF999999"/>
      <name val="Aptos Narrow"/>
      <family val="2"/>
      <scheme val="minor"/>
    </font>
    <font>
      <b/>
      <sz val="9"/>
      <color theme="1"/>
      <name val="Aptos Narrow"/>
      <family val="2"/>
      <scheme val="minor"/>
    </font>
    <font>
      <b/>
      <sz val="14"/>
      <color theme="1"/>
      <name val="Aptos Narrow"/>
      <scheme val="minor"/>
    </font>
    <font>
      <i/>
      <sz val="11"/>
      <color rgb="FF666666"/>
      <name val="Aptos Narrow"/>
      <scheme val="minor"/>
    </font>
    <font>
      <sz val="11"/>
      <color theme="1"/>
      <name val="Aptos Narrow"/>
      <scheme val="minor"/>
    </font>
    <font>
      <b/>
      <sz val="11"/>
      <color theme="1"/>
      <name val="Aptos Narrow"/>
      <scheme val="minor"/>
    </font>
    <font>
      <b/>
      <sz val="11"/>
      <color rgb="FFFF0000"/>
      <name val="Aptos Narrow"/>
      <scheme val="minor"/>
    </font>
    <font>
      <b/>
      <sz val="12"/>
      <color theme="1"/>
      <name val="Aptos Narrow"/>
      <scheme val="minor"/>
    </font>
    <font>
      <b/>
      <i/>
      <sz val="11"/>
      <color rgb="FF666666"/>
      <name val="Aptos Narrow"/>
      <scheme val="minor"/>
    </font>
    <font>
      <b/>
      <sz val="11"/>
      <color rgb="FF666666"/>
      <name val="Aptos Narrow"/>
      <scheme val="minor"/>
    </font>
    <font>
      <sz val="11"/>
      <color rgb="FF0000FF"/>
      <name val="Aptos Narrow"/>
      <scheme val="minor"/>
    </font>
    <font>
      <b/>
      <sz val="11"/>
      <color rgb="FF0000FF"/>
      <name val="Aptos Narrow"/>
      <scheme val="minor"/>
    </font>
    <font>
      <i/>
      <sz val="9"/>
      <color rgb="FF999999"/>
      <name val="Aptos Narrow"/>
      <scheme val="minor"/>
    </font>
    <font>
      <b/>
      <sz val="9"/>
      <color theme="1"/>
      <name val="Aptos Narrow"/>
      <scheme val="minor"/>
    </font>
    <font>
      <sz val="11"/>
      <color rgb="FFFF0000"/>
      <name val="Aptos Narrow"/>
      <scheme val="minor"/>
    </font>
    <font>
      <sz val="11"/>
      <color rgb="FF999999"/>
      <name val="Aptos Narrow"/>
      <scheme val="minor"/>
    </font>
    <font>
      <i/>
      <sz val="11"/>
      <color rgb="FF999999"/>
      <name val="Aptos Narrow"/>
      <scheme val="minor"/>
    </font>
    <font>
      <b/>
      <sz val="18"/>
      <color rgb="FF1F3864"/>
      <name val="Calibri"/>
    </font>
    <font>
      <i/>
      <sz val="11"/>
      <color rgb="FF4472C4"/>
      <name val="Calibri"/>
    </font>
    <font>
      <b/>
      <sz val="12"/>
      <color rgb="FF1F3864"/>
      <name val="Calibri"/>
    </font>
    <font>
      <sz val="11"/>
      <color theme="1"/>
      <name val="Calibri"/>
    </font>
    <font>
      <b/>
      <sz val="11"/>
      <color rgb="FFFFFFFF"/>
      <name val="Calibri"/>
    </font>
    <font>
      <b/>
      <sz val="11"/>
      <color theme="1"/>
      <name val="Calibri"/>
    </font>
    <font>
      <b/>
      <sz val="11"/>
      <color rgb="FF1F3864"/>
      <name val="Calibri"/>
    </font>
    <font>
      <b/>
      <sz val="11"/>
      <color rgb="FF000000"/>
      <name val="Aptos Narrow"/>
      <family val="2"/>
      <scheme val="minor"/>
    </font>
    <font>
      <sz val="9"/>
      <color indexed="81"/>
      <name val="Tahoma"/>
      <family val="2"/>
    </font>
    <font>
      <b/>
      <sz val="9"/>
      <color indexed="81"/>
      <name val="Tahoma"/>
      <family val="2"/>
    </font>
    <font>
      <b/>
      <i/>
      <sz val="11"/>
      <color rgb="FF000000"/>
      <name val="Aptos Narrow"/>
      <family val="2"/>
      <scheme val="minor"/>
    </font>
    <font>
      <b/>
      <i/>
      <sz val="11"/>
      <color rgb="FF666666"/>
      <name val="Aptos Narrow"/>
      <family val="2"/>
      <scheme val="minor"/>
    </font>
    <font>
      <sz val="11"/>
      <color rgb="FF1F3864"/>
      <name val="Calibri"/>
      <family val="2"/>
    </font>
  </fonts>
  <fills count="10">
    <fill>
      <patternFill patternType="none"/>
    </fill>
    <fill>
      <patternFill patternType="gray125"/>
    </fill>
    <fill>
      <patternFill patternType="solid">
        <fgColor rgb="FFD9E2F3"/>
        <bgColor indexed="64"/>
      </patternFill>
    </fill>
    <fill>
      <patternFill patternType="solid">
        <fgColor rgb="FFE2EFDA"/>
        <bgColor indexed="64"/>
      </patternFill>
    </fill>
    <fill>
      <patternFill patternType="solid">
        <fgColor rgb="FFFFF2CC"/>
        <bgColor indexed="64"/>
      </patternFill>
    </fill>
    <fill>
      <patternFill patternType="solid">
        <fgColor rgb="FFFCE4EC"/>
        <bgColor indexed="64"/>
      </patternFill>
    </fill>
    <fill>
      <patternFill patternType="solid">
        <fgColor rgb="FF1F3864"/>
        <bgColor indexed="64"/>
      </patternFill>
    </fill>
    <fill>
      <patternFill patternType="solid">
        <fgColor rgb="FFD6DCE4"/>
        <bgColor indexed="64"/>
      </patternFill>
    </fill>
    <fill>
      <patternFill patternType="solid">
        <fgColor theme="0"/>
        <bgColor indexed="64"/>
      </patternFill>
    </fill>
    <fill>
      <patternFill patternType="solid">
        <fgColor rgb="FFFFFFFF"/>
        <bgColor indexed="64"/>
      </patternFill>
    </fill>
  </fills>
  <borders count="6">
    <border>
      <left/>
      <right/>
      <top/>
      <bottom/>
      <diagonal/>
    </border>
    <border>
      <left/>
      <right/>
      <top style="thin">
        <color auto="1"/>
      </top>
      <bottom/>
      <diagonal/>
    </border>
    <border>
      <left/>
      <right/>
      <top style="thin">
        <color auto="1"/>
      </top>
      <bottom style="double">
        <color auto="1"/>
      </bottom>
      <diagonal/>
    </border>
    <border>
      <left style="thin">
        <color rgb="FF8DB4E2"/>
      </left>
      <right/>
      <top style="thin">
        <color rgb="FF8DB4E2"/>
      </top>
      <bottom style="thin">
        <color rgb="FF8DB4E2"/>
      </bottom>
      <diagonal/>
    </border>
    <border>
      <left style="thin">
        <color rgb="FF8DB4E2"/>
      </left>
      <right style="thin">
        <color rgb="FF8DB4E2"/>
      </right>
      <top style="thin">
        <color rgb="FF8DB4E2"/>
      </top>
      <bottom style="thin">
        <color rgb="FF8DB4E2"/>
      </bottom>
      <diagonal/>
    </border>
    <border>
      <left style="thin">
        <color rgb="FF8DB4E2"/>
      </left>
      <right style="thin">
        <color rgb="FF8DB4E2"/>
      </right>
      <top style="thin">
        <color rgb="FF8DB4E2"/>
      </top>
      <bottom/>
      <diagonal/>
    </border>
  </borders>
  <cellStyleXfs count="1">
    <xf numFmtId="0" fontId="0" fillId="0" borderId="0"/>
  </cellStyleXfs>
  <cellXfs count="120">
    <xf numFmtId="0" fontId="0" fillId="0" borderId="0" xfId="0"/>
    <xf numFmtId="0" fontId="3" fillId="0" borderId="0" xfId="0" applyFont="1"/>
    <xf numFmtId="0" fontId="4" fillId="0" borderId="0" xfId="0" applyFont="1"/>
    <xf numFmtId="0" fontId="2" fillId="0" borderId="0" xfId="0" applyFont="1"/>
    <xf numFmtId="0" fontId="2" fillId="2" borderId="0" xfId="0" applyFont="1" applyFill="1"/>
    <xf numFmtId="0" fontId="0" fillId="2" borderId="0" xfId="0" applyFill="1"/>
    <xf numFmtId="0" fontId="6" fillId="0" borderId="0" xfId="0" applyFont="1"/>
    <xf numFmtId="164" fontId="6" fillId="0" borderId="0" xfId="0" applyNumberFormat="1" applyFont="1"/>
    <xf numFmtId="0" fontId="7" fillId="0" borderId="0" xfId="0" applyFont="1"/>
    <xf numFmtId="0" fontId="8" fillId="0" borderId="0" xfId="0" applyFont="1"/>
    <xf numFmtId="0" fontId="2" fillId="2" borderId="0" xfId="0" applyFont="1" applyFill="1" applyAlignment="1">
      <alignment horizontal="center"/>
    </xf>
    <xf numFmtId="3" fontId="6" fillId="0" borderId="0" xfId="0" applyNumberFormat="1" applyFont="1"/>
    <xf numFmtId="3" fontId="0" fillId="0" borderId="0" xfId="0" applyNumberFormat="1"/>
    <xf numFmtId="3" fontId="2" fillId="0" borderId="0" xfId="0" applyNumberFormat="1" applyFont="1"/>
    <xf numFmtId="165" fontId="0" fillId="0" borderId="0" xfId="0" applyNumberFormat="1"/>
    <xf numFmtId="0" fontId="9" fillId="0" borderId="0" xfId="0" applyFont="1"/>
    <xf numFmtId="165" fontId="2" fillId="0" borderId="0" xfId="0" applyNumberFormat="1" applyFont="1"/>
    <xf numFmtId="166" fontId="0" fillId="0" borderId="0" xfId="0" applyNumberFormat="1"/>
    <xf numFmtId="0" fontId="10" fillId="0" borderId="0" xfId="0" applyFont="1"/>
    <xf numFmtId="0" fontId="10" fillId="0" borderId="0" xfId="0" applyFont="1" applyAlignment="1">
      <alignment horizontal="center"/>
    </xf>
    <xf numFmtId="3" fontId="5" fillId="0" borderId="0" xfId="0" applyNumberFormat="1" applyFont="1"/>
    <xf numFmtId="0" fontId="2" fillId="3" borderId="0" xfId="0" applyFont="1" applyFill="1"/>
    <xf numFmtId="0" fontId="0" fillId="3" borderId="0" xfId="0" applyFill="1"/>
    <xf numFmtId="0" fontId="1" fillId="0" borderId="0" xfId="0" applyFont="1"/>
    <xf numFmtId="167" fontId="0" fillId="0" borderId="0" xfId="0" applyNumberFormat="1"/>
    <xf numFmtId="0" fontId="11" fillId="0" borderId="0" xfId="0" applyFont="1"/>
    <xf numFmtId="3" fontId="2" fillId="0" borderId="1" xfId="0" applyNumberFormat="1" applyFont="1" applyBorder="1"/>
    <xf numFmtId="3" fontId="2" fillId="0" borderId="2" xfId="0" applyNumberFormat="1" applyFont="1" applyBorder="1"/>
    <xf numFmtId="165" fontId="2" fillId="0" borderId="2" xfId="0" applyNumberFormat="1" applyFont="1" applyBorder="1"/>
    <xf numFmtId="165" fontId="2" fillId="3" borderId="2" xfId="0" applyNumberFormat="1" applyFont="1" applyFill="1" applyBorder="1"/>
    <xf numFmtId="167" fontId="2" fillId="0" borderId="2" xfId="0" applyNumberFormat="1" applyFont="1" applyBorder="1"/>
    <xf numFmtId="0" fontId="12" fillId="0" borderId="0" xfId="0" applyFont="1"/>
    <xf numFmtId="10" fontId="6" fillId="0" borderId="0" xfId="0" applyNumberFormat="1" applyFont="1"/>
    <xf numFmtId="0" fontId="13" fillId="0" borderId="0" xfId="0" applyFont="1"/>
    <xf numFmtId="168" fontId="0" fillId="0" borderId="0" xfId="0" applyNumberFormat="1"/>
    <xf numFmtId="0" fontId="14" fillId="2" borderId="0" xfId="0" applyFont="1" applyFill="1" applyAlignment="1">
      <alignment horizontal="center"/>
    </xf>
    <xf numFmtId="4" fontId="0" fillId="0" borderId="0" xfId="0" applyNumberFormat="1"/>
    <xf numFmtId="4" fontId="2" fillId="0" borderId="0" xfId="0" applyNumberFormat="1" applyFont="1"/>
    <xf numFmtId="4" fontId="2" fillId="3" borderId="0" xfId="0" applyNumberFormat="1" applyFont="1" applyFill="1"/>
    <xf numFmtId="0" fontId="2" fillId="4" borderId="0" xfId="0" applyFont="1" applyFill="1"/>
    <xf numFmtId="0" fontId="0" fillId="4" borderId="0" xfId="0" applyFill="1"/>
    <xf numFmtId="4" fontId="2" fillId="4" borderId="0" xfId="0" applyNumberFormat="1" applyFont="1" applyFill="1"/>
    <xf numFmtId="4" fontId="5" fillId="0" borderId="0" xfId="0" applyNumberFormat="1" applyFont="1"/>
    <xf numFmtId="4" fontId="7" fillId="0" borderId="0" xfId="0" applyNumberFormat="1" applyFont="1"/>
    <xf numFmtId="0" fontId="15" fillId="0" borderId="0" xfId="0" applyFont="1"/>
    <xf numFmtId="0" fontId="16" fillId="0" borderId="0" xfId="0" applyFont="1"/>
    <xf numFmtId="0" fontId="17" fillId="0" borderId="0" xfId="0" applyFont="1"/>
    <xf numFmtId="0" fontId="18" fillId="0" borderId="0" xfId="0" applyFont="1"/>
    <xf numFmtId="0" fontId="18" fillId="2" borderId="0" xfId="0" applyFont="1" applyFill="1"/>
    <xf numFmtId="0" fontId="18" fillId="2" borderId="0" xfId="0" applyFont="1" applyFill="1" applyAlignment="1">
      <alignment horizontal="center"/>
    </xf>
    <xf numFmtId="0" fontId="19" fillId="0" borderId="0" xfId="0" applyFont="1"/>
    <xf numFmtId="0" fontId="20" fillId="0" borderId="0" xfId="0" applyFont="1"/>
    <xf numFmtId="3" fontId="18" fillId="0" borderId="0" xfId="0" applyNumberFormat="1" applyFont="1"/>
    <xf numFmtId="167" fontId="17" fillId="0" borderId="0" xfId="0" applyNumberFormat="1" applyFont="1"/>
    <xf numFmtId="3" fontId="17" fillId="0" borderId="0" xfId="0" applyNumberFormat="1" applyFont="1"/>
    <xf numFmtId="4" fontId="18" fillId="0" borderId="0" xfId="0" applyNumberFormat="1" applyFont="1"/>
    <xf numFmtId="4" fontId="17" fillId="0" borderId="0" xfId="0" applyNumberFormat="1" applyFont="1"/>
    <xf numFmtId="167" fontId="18" fillId="0" borderId="2" xfId="0" applyNumberFormat="1" applyFont="1" applyBorder="1"/>
    <xf numFmtId="3" fontId="18" fillId="0" borderId="2" xfId="0" applyNumberFormat="1" applyFont="1" applyBorder="1"/>
    <xf numFmtId="4" fontId="18" fillId="0" borderId="1" xfId="0" applyNumberFormat="1" applyFont="1" applyBorder="1"/>
    <xf numFmtId="4" fontId="18" fillId="0" borderId="2" xfId="0" applyNumberFormat="1" applyFont="1" applyBorder="1"/>
    <xf numFmtId="15" fontId="2" fillId="2" borderId="0" xfId="0" applyNumberFormat="1" applyFont="1" applyFill="1" applyAlignment="1">
      <alignment horizontal="center"/>
    </xf>
    <xf numFmtId="15" fontId="18" fillId="2" borderId="0" xfId="0" applyNumberFormat="1" applyFont="1" applyFill="1" applyAlignment="1">
      <alignment horizontal="center"/>
    </xf>
    <xf numFmtId="0" fontId="21" fillId="0" borderId="0" xfId="0" applyFont="1"/>
    <xf numFmtId="0" fontId="22" fillId="0" borderId="0" xfId="0" applyFont="1"/>
    <xf numFmtId="0" fontId="21" fillId="2" borderId="0" xfId="0" applyFont="1" applyFill="1"/>
    <xf numFmtId="0" fontId="24" fillId="0" borderId="0" xfId="0" applyFont="1"/>
    <xf numFmtId="3" fontId="24" fillId="0" borderId="0" xfId="0" applyNumberFormat="1" applyFont="1"/>
    <xf numFmtId="0" fontId="18" fillId="4" borderId="0" xfId="0" applyFont="1" applyFill="1"/>
    <xf numFmtId="15" fontId="18" fillId="4" borderId="0" xfId="0" applyNumberFormat="1" applyFont="1" applyFill="1" applyAlignment="1">
      <alignment horizontal="center"/>
    </xf>
    <xf numFmtId="0" fontId="25" fillId="0" borderId="0" xfId="0" applyFont="1"/>
    <xf numFmtId="10" fontId="24" fillId="0" borderId="0" xfId="0" applyNumberFormat="1" applyFont="1"/>
    <xf numFmtId="168" fontId="17" fillId="0" borderId="0" xfId="0" applyNumberFormat="1" applyFont="1"/>
    <xf numFmtId="0" fontId="26" fillId="2" borderId="0" xfId="0" applyFont="1" applyFill="1" applyAlignment="1">
      <alignment horizontal="center"/>
    </xf>
    <xf numFmtId="0" fontId="27" fillId="0" borderId="0" xfId="0" applyFont="1"/>
    <xf numFmtId="0" fontId="29" fillId="0" borderId="0" xfId="0" applyFont="1"/>
    <xf numFmtId="4" fontId="28" fillId="0" borderId="0" xfId="0" applyNumberFormat="1" applyFont="1"/>
    <xf numFmtId="0" fontId="18" fillId="3" borderId="0" xfId="0" applyFont="1" applyFill="1"/>
    <xf numFmtId="4" fontId="18" fillId="3" borderId="0" xfId="0" applyNumberFormat="1" applyFont="1" applyFill="1"/>
    <xf numFmtId="4" fontId="18" fillId="4" borderId="0" xfId="0" applyNumberFormat="1" applyFont="1" applyFill="1"/>
    <xf numFmtId="4" fontId="23" fillId="0" borderId="0" xfId="0" applyNumberFormat="1" applyFont="1"/>
    <xf numFmtId="0" fontId="18" fillId="5" borderId="0" xfId="0" applyFont="1" applyFill="1"/>
    <xf numFmtId="0" fontId="0" fillId="5" borderId="0" xfId="0" applyFill="1"/>
    <xf numFmtId="15" fontId="18" fillId="5" borderId="0" xfId="0" applyNumberFormat="1" applyFont="1" applyFill="1" applyAlignment="1">
      <alignment horizontal="center"/>
    </xf>
    <xf numFmtId="0" fontId="30" fillId="0" borderId="0" xfId="0" applyFont="1"/>
    <xf numFmtId="0" fontId="31" fillId="0" borderId="0" xfId="0" applyFont="1"/>
    <xf numFmtId="0" fontId="32" fillId="0" borderId="0" xfId="0" applyFont="1"/>
    <xf numFmtId="0" fontId="33" fillId="0" borderId="0" xfId="0" applyFont="1"/>
    <xf numFmtId="0" fontId="36" fillId="0" borderId="0" xfId="0" applyFont="1"/>
    <xf numFmtId="0" fontId="33" fillId="0" borderId="0" xfId="0" applyFont="1" applyAlignment="1">
      <alignment wrapText="1"/>
    </xf>
    <xf numFmtId="0" fontId="34" fillId="6" borderId="4" xfId="0" applyFont="1" applyFill="1" applyBorder="1"/>
    <xf numFmtId="0" fontId="35" fillId="7" borderId="4" xfId="0" applyFont="1" applyFill="1" applyBorder="1" applyAlignment="1">
      <alignment vertical="top" wrapText="1"/>
    </xf>
    <xf numFmtId="0" fontId="33" fillId="7" borderId="4" xfId="0" applyFont="1" applyFill="1" applyBorder="1" applyAlignment="1">
      <alignment vertical="top"/>
    </xf>
    <xf numFmtId="0" fontId="33" fillId="7" borderId="4" xfId="0" applyFont="1" applyFill="1" applyBorder="1" applyAlignment="1">
      <alignment vertical="top" wrapText="1"/>
    </xf>
    <xf numFmtId="0" fontId="35" fillId="0" borderId="4" xfId="0" applyFont="1" applyBorder="1" applyAlignment="1">
      <alignment vertical="top" wrapText="1"/>
    </xf>
    <xf numFmtId="0" fontId="33" fillId="0" borderId="4" xfId="0" applyFont="1" applyBorder="1" applyAlignment="1">
      <alignment vertical="top"/>
    </xf>
    <xf numFmtId="0" fontId="33" fillId="0" borderId="4" xfId="0" applyFont="1" applyBorder="1" applyAlignment="1">
      <alignment vertical="top" wrapText="1"/>
    </xf>
    <xf numFmtId="0" fontId="37" fillId="5" borderId="0" xfId="0" applyFont="1" applyFill="1"/>
    <xf numFmtId="169" fontId="2" fillId="2" borderId="0" xfId="0" applyNumberFormat="1" applyFont="1" applyFill="1" applyAlignment="1">
      <alignment horizontal="center"/>
    </xf>
    <xf numFmtId="4" fontId="37" fillId="5" borderId="0" xfId="0" applyNumberFormat="1" applyFont="1" applyFill="1"/>
    <xf numFmtId="0" fontId="40" fillId="5" borderId="0" xfId="0" applyFont="1" applyFill="1"/>
    <xf numFmtId="0" fontId="35" fillId="0" borderId="5" xfId="0" applyFont="1" applyBorder="1" applyAlignment="1">
      <alignment vertical="top" wrapText="1"/>
    </xf>
    <xf numFmtId="0" fontId="33" fillId="0" borderId="5" xfId="0" applyFont="1" applyBorder="1" applyAlignment="1">
      <alignment vertical="top"/>
    </xf>
    <xf numFmtId="0" fontId="33" fillId="0" borderId="5" xfId="0" applyFont="1" applyBorder="1" applyAlignment="1">
      <alignment vertical="top" wrapText="1"/>
    </xf>
    <xf numFmtId="0" fontId="41" fillId="0" borderId="0" xfId="0" applyFont="1"/>
    <xf numFmtId="9" fontId="6" fillId="0" borderId="0" xfId="0" applyNumberFormat="1" applyFont="1"/>
    <xf numFmtId="4" fontId="6" fillId="0" borderId="0" xfId="0" applyNumberFormat="1" applyFont="1"/>
    <xf numFmtId="167" fontId="18" fillId="0" borderId="0" xfId="0" applyNumberFormat="1" applyFont="1"/>
    <xf numFmtId="167" fontId="18" fillId="4" borderId="0" xfId="0" applyNumberFormat="1" applyFont="1" applyFill="1"/>
    <xf numFmtId="0" fontId="20" fillId="4" borderId="0" xfId="0" applyFont="1" applyFill="1"/>
    <xf numFmtId="0" fontId="35" fillId="7" borderId="5" xfId="0" applyFont="1" applyFill="1" applyBorder="1" applyAlignment="1">
      <alignment vertical="top" wrapText="1"/>
    </xf>
    <xf numFmtId="0" fontId="35" fillId="9" borderId="3" xfId="0" applyFont="1" applyFill="1" applyBorder="1" applyAlignment="1">
      <alignment vertical="top" wrapText="1"/>
    </xf>
    <xf numFmtId="0" fontId="33" fillId="7" borderId="5" xfId="0" applyFont="1" applyFill="1" applyBorder="1" applyAlignment="1">
      <alignment vertical="top"/>
    </xf>
    <xf numFmtId="0" fontId="33" fillId="9" borderId="3" xfId="0" applyFont="1" applyFill="1" applyBorder="1" applyAlignment="1">
      <alignment vertical="top"/>
    </xf>
    <xf numFmtId="0" fontId="33" fillId="7" borderId="5" xfId="0" applyFont="1" applyFill="1" applyBorder="1" applyAlignment="1">
      <alignment vertical="top" wrapText="1"/>
    </xf>
    <xf numFmtId="0" fontId="33" fillId="9" borderId="4" xfId="0" applyFont="1" applyFill="1" applyBorder="1" applyAlignment="1">
      <alignment vertical="top" wrapText="1"/>
    </xf>
    <xf numFmtId="0" fontId="33" fillId="9" borderId="3" xfId="0" applyFont="1" applyFill="1" applyBorder="1" applyAlignment="1">
      <alignment vertical="top" wrapText="1"/>
    </xf>
    <xf numFmtId="0" fontId="33" fillId="8" borderId="0" xfId="0" applyFont="1" applyFill="1" applyAlignment="1">
      <alignment horizontal="left" vertical="center" wrapText="1"/>
    </xf>
    <xf numFmtId="0" fontId="33" fillId="0" borderId="0" xfId="0" applyFont="1" applyAlignment="1">
      <alignment horizontal="left" vertical="center" wrapText="1"/>
    </xf>
    <xf numFmtId="0" fontId="4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99"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705211D-3511-4AB6-92A9-E866F30733CB}">
  <we:reference id="wa200009404" version="1.0.0.8" store="en-US" storeType="OMEX"/>
  <we:alternateReferences>
    <we:reference id="WA200009404" version="1.0.0.8" store="" storeType="OMEX"/>
  </we:alternateReferences>
  <we:properties>
    <we:property name="claude.fileId" value="&quot;0760f4aa-ca33-416c-a42b-b0ec63a5b67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acomc999@gmail.com" TargetMode="External"/></Relationships>
</file>

<file path=xl/worksheets/_rels/sheet2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E1DC-C317-4CAF-8F75-BFB738FD25FE}">
  <sheetPr>
    <tabColor rgb="FF1F3864"/>
  </sheetPr>
  <dimension ref="B2:E30"/>
  <sheetViews>
    <sheetView showGridLines="0" topLeftCell="A8" workbookViewId="0">
      <selection activeCell="D21" sqref="D21"/>
    </sheetView>
  </sheetViews>
  <sheetFormatPr defaultRowHeight="15" x14ac:dyDescent="0.25"/>
  <cols>
    <col min="1" max="1" width="3.85546875" customWidth="1"/>
    <col min="2" max="2" width="41.85546875" customWidth="1"/>
    <col min="3" max="3" width="30.42578125" customWidth="1"/>
    <col min="4" max="4" width="103.7109375" customWidth="1"/>
    <col min="5" max="5" width="53.28515625" customWidth="1"/>
  </cols>
  <sheetData>
    <row r="2" spans="2:5" ht="23.25" x14ac:dyDescent="0.35">
      <c r="B2" s="84" t="s">
        <v>182</v>
      </c>
    </row>
    <row r="3" spans="2:5" x14ac:dyDescent="0.25">
      <c r="B3" s="85" t="s">
        <v>205</v>
      </c>
    </row>
    <row r="5" spans="2:5" ht="15.75" x14ac:dyDescent="0.25">
      <c r="B5" s="86" t="s">
        <v>183</v>
      </c>
    </row>
    <row r="6" spans="2:5" ht="79.5" customHeight="1" x14ac:dyDescent="0.25">
      <c r="B6" s="117" t="s">
        <v>206</v>
      </c>
      <c r="C6" s="117"/>
      <c r="D6" s="117"/>
    </row>
    <row r="8" spans="2:5" ht="15.75" x14ac:dyDescent="0.25">
      <c r="B8" s="86" t="s">
        <v>184</v>
      </c>
    </row>
    <row r="9" spans="2:5" ht="45" x14ac:dyDescent="0.25">
      <c r="B9" s="89" t="s">
        <v>185</v>
      </c>
    </row>
    <row r="11" spans="2:5" x14ac:dyDescent="0.25">
      <c r="B11" s="90" t="s">
        <v>186</v>
      </c>
      <c r="C11" s="90" t="s">
        <v>187</v>
      </c>
      <c r="D11" s="90" t="s">
        <v>188</v>
      </c>
      <c r="E11" s="90" t="s">
        <v>189</v>
      </c>
    </row>
    <row r="12" spans="2:5" ht="113.25" customHeight="1" x14ac:dyDescent="0.25">
      <c r="B12" s="91" t="s">
        <v>190</v>
      </c>
      <c r="C12" s="92" t="s">
        <v>191</v>
      </c>
      <c r="D12" s="93" t="s">
        <v>241</v>
      </c>
      <c r="E12" s="93" t="s">
        <v>192</v>
      </c>
    </row>
    <row r="13" spans="2:5" ht="113.25" customHeight="1" x14ac:dyDescent="0.25">
      <c r="B13" s="94" t="s">
        <v>193</v>
      </c>
      <c r="C13" s="95" t="s">
        <v>194</v>
      </c>
      <c r="D13" s="96" t="s">
        <v>207</v>
      </c>
      <c r="E13" s="96" t="s">
        <v>209</v>
      </c>
    </row>
    <row r="14" spans="2:5" ht="113.25" customHeight="1" x14ac:dyDescent="0.25">
      <c r="B14" s="91" t="s">
        <v>211</v>
      </c>
      <c r="C14" s="92" t="s">
        <v>195</v>
      </c>
      <c r="D14" s="93" t="s">
        <v>213</v>
      </c>
      <c r="E14" s="93" t="s">
        <v>215</v>
      </c>
    </row>
    <row r="15" spans="2:5" ht="113.25" customHeight="1" x14ac:dyDescent="0.25">
      <c r="B15" s="101" t="s">
        <v>212</v>
      </c>
      <c r="C15" s="102" t="s">
        <v>196</v>
      </c>
      <c r="D15" s="103" t="s">
        <v>214</v>
      </c>
      <c r="E15" s="103" t="s">
        <v>216</v>
      </c>
    </row>
    <row r="16" spans="2:5" ht="129.75" customHeight="1" x14ac:dyDescent="0.25">
      <c r="B16" s="110" t="s">
        <v>233</v>
      </c>
      <c r="C16" s="112" t="s">
        <v>235</v>
      </c>
      <c r="D16" s="114" t="s">
        <v>236</v>
      </c>
      <c r="E16" s="114" t="s">
        <v>197</v>
      </c>
    </row>
    <row r="17" spans="2:5" ht="127.5" customHeight="1" x14ac:dyDescent="0.25">
      <c r="B17" s="111" t="s">
        <v>338</v>
      </c>
      <c r="C17" s="113" t="s">
        <v>339</v>
      </c>
      <c r="D17" s="116" t="s">
        <v>340</v>
      </c>
      <c r="E17" s="115" t="s">
        <v>341</v>
      </c>
    </row>
    <row r="18" spans="2:5" ht="15.75" x14ac:dyDescent="0.25">
      <c r="B18" s="86" t="s">
        <v>198</v>
      </c>
    </row>
    <row r="19" spans="2:5" x14ac:dyDescent="0.25">
      <c r="B19" s="87" t="s">
        <v>199</v>
      </c>
    </row>
    <row r="20" spans="2:5" x14ac:dyDescent="0.25">
      <c r="B20" s="87" t="s">
        <v>200</v>
      </c>
    </row>
    <row r="21" spans="2:5" x14ac:dyDescent="0.25">
      <c r="B21" s="87" t="s">
        <v>201</v>
      </c>
    </row>
    <row r="22" spans="2:5" x14ac:dyDescent="0.25">
      <c r="B22" s="87" t="s">
        <v>202</v>
      </c>
    </row>
    <row r="23" spans="2:5" x14ac:dyDescent="0.25">
      <c r="B23" s="87" t="s">
        <v>210</v>
      </c>
    </row>
    <row r="25" spans="2:5" ht="15.75" x14ac:dyDescent="0.25">
      <c r="B25" s="86" t="s">
        <v>203</v>
      </c>
    </row>
    <row r="26" spans="2:5" ht="71.25" customHeight="1" x14ac:dyDescent="0.25">
      <c r="B26" s="118" t="s">
        <v>208</v>
      </c>
      <c r="C26" s="118"/>
      <c r="D26" s="118"/>
    </row>
    <row r="29" spans="2:5" x14ac:dyDescent="0.25">
      <c r="B29" s="88" t="s">
        <v>204</v>
      </c>
    </row>
    <row r="30" spans="2:5" x14ac:dyDescent="0.25">
      <c r="B30" s="119" t="s">
        <v>342</v>
      </c>
    </row>
  </sheetData>
  <mergeCells count="2">
    <mergeCell ref="B6:D6"/>
    <mergeCell ref="B26:D26"/>
  </mergeCells>
  <hyperlinks>
    <hyperlink ref="B30" r:id="rId1" xr:uid="{4A020749-B40A-451E-B9F4-5089503B488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B6027-F6EC-4004-9DE4-73669536DBDB}">
  <sheetPr>
    <tabColor rgb="FFA6A6A6"/>
  </sheetPr>
  <dimension ref="A1"/>
  <sheetViews>
    <sheetView workbookViewId="0"/>
  </sheetViews>
  <sheetFormatPr defaultRowHeight="15" x14ac:dyDescent="0.25"/>
  <sheetData>
    <row r="1" spans="1:1" ht="15.75" x14ac:dyDescent="0.25">
      <c r="A1" s="31"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A519-EAAD-4EA2-AFB0-D2B1CD433911}">
  <dimension ref="A1:C33"/>
  <sheetViews>
    <sheetView workbookViewId="0">
      <selection activeCell="B17" sqref="B17"/>
    </sheetView>
  </sheetViews>
  <sheetFormatPr defaultRowHeight="15" x14ac:dyDescent="0.25"/>
  <cols>
    <col min="1" max="1" width="53.28515625" customWidth="1"/>
    <col min="2" max="2" width="19" customWidth="1"/>
    <col min="3" max="3" width="28.5703125" customWidth="1"/>
  </cols>
  <sheetData>
    <row r="1" spans="1:3" ht="18.75" x14ac:dyDescent="0.3">
      <c r="A1" s="1" t="s">
        <v>0</v>
      </c>
    </row>
    <row r="2" spans="1:3" x14ac:dyDescent="0.25">
      <c r="A2" s="63" t="s">
        <v>143</v>
      </c>
    </row>
    <row r="3" spans="1:3" x14ac:dyDescent="0.25">
      <c r="A3" s="45" t="s">
        <v>144</v>
      </c>
    </row>
    <row r="4" spans="1:3" x14ac:dyDescent="0.25">
      <c r="A4" s="45" t="s">
        <v>145</v>
      </c>
    </row>
    <row r="5" spans="1:3" x14ac:dyDescent="0.25">
      <c r="A5" s="45" t="s">
        <v>146</v>
      </c>
    </row>
    <row r="6" spans="1:3" x14ac:dyDescent="0.25">
      <c r="A6" s="45" t="s">
        <v>147</v>
      </c>
    </row>
    <row r="8" spans="1:3" x14ac:dyDescent="0.25">
      <c r="A8" s="4" t="s">
        <v>1</v>
      </c>
      <c r="B8" s="5"/>
      <c r="C8" s="5"/>
    </row>
    <row r="9" spans="1:3" x14ac:dyDescent="0.25">
      <c r="A9" t="s">
        <v>2</v>
      </c>
      <c r="B9" s="6">
        <v>3</v>
      </c>
    </row>
    <row r="10" spans="1:3" x14ac:dyDescent="0.25">
      <c r="A10" t="s">
        <v>3</v>
      </c>
      <c r="B10" s="7">
        <v>0</v>
      </c>
      <c r="C10" s="9"/>
    </row>
    <row r="12" spans="1:3" x14ac:dyDescent="0.25">
      <c r="A12" s="4" t="s">
        <v>4</v>
      </c>
      <c r="B12" s="10" t="s">
        <v>5</v>
      </c>
      <c r="C12" s="10" t="s">
        <v>6</v>
      </c>
    </row>
    <row r="13" spans="1:3" x14ac:dyDescent="0.25">
      <c r="A13" t="s">
        <v>7</v>
      </c>
      <c r="B13" s="11">
        <v>1000</v>
      </c>
      <c r="C13" s="9"/>
    </row>
    <row r="14" spans="1:3" x14ac:dyDescent="0.25">
      <c r="A14" t="s">
        <v>8</v>
      </c>
      <c r="B14" s="11">
        <v>600</v>
      </c>
      <c r="C14" s="12">
        <f>B14/B9</f>
        <v>200</v>
      </c>
    </row>
    <row r="15" spans="1:3" x14ac:dyDescent="0.25">
      <c r="A15" t="s">
        <v>9</v>
      </c>
      <c r="B15" s="11">
        <v>150</v>
      </c>
      <c r="C15" s="12">
        <f>B15/B9</f>
        <v>50</v>
      </c>
    </row>
    <row r="16" spans="1:3" x14ac:dyDescent="0.25">
      <c r="A16" t="s">
        <v>10</v>
      </c>
      <c r="B16" s="11">
        <v>90</v>
      </c>
      <c r="C16" s="12">
        <f>B16/B9</f>
        <v>30</v>
      </c>
    </row>
    <row r="18" spans="1:3" x14ac:dyDescent="0.25">
      <c r="A18" s="4" t="s">
        <v>11</v>
      </c>
      <c r="B18" s="5"/>
      <c r="C18" s="5"/>
    </row>
    <row r="19" spans="1:3" x14ac:dyDescent="0.25">
      <c r="A19" t="s">
        <v>76</v>
      </c>
      <c r="B19" s="12">
        <f>B14+B15</f>
        <v>750</v>
      </c>
    </row>
    <row r="20" spans="1:3" x14ac:dyDescent="0.25">
      <c r="A20" t="s">
        <v>12</v>
      </c>
      <c r="B20" s="12">
        <f>B16</f>
        <v>90</v>
      </c>
    </row>
    <row r="21" spans="1:3" x14ac:dyDescent="0.25">
      <c r="A21" t="s">
        <v>13</v>
      </c>
      <c r="B21" s="13">
        <f>B13-B19-B16</f>
        <v>160</v>
      </c>
    </row>
    <row r="22" spans="1:3" ht="15.75" thickBot="1" x14ac:dyDescent="0.3">
      <c r="A22" t="s">
        <v>14</v>
      </c>
      <c r="B22" s="27">
        <f>B19+B20+B21</f>
        <v>1000</v>
      </c>
    </row>
    <row r="23" spans="1:3" ht="15.75" thickTop="1" x14ac:dyDescent="0.25"/>
    <row r="24" spans="1:3" x14ac:dyDescent="0.25">
      <c r="A24" s="4" t="s">
        <v>15</v>
      </c>
      <c r="B24" s="5"/>
    </row>
    <row r="25" spans="1:3" x14ac:dyDescent="0.25">
      <c r="A25" t="s">
        <v>16</v>
      </c>
      <c r="B25" s="14">
        <f>B21/B9</f>
        <v>53.333333333333336</v>
      </c>
    </row>
    <row r="26" spans="1:3" x14ac:dyDescent="0.25">
      <c r="A26" t="s">
        <v>17</v>
      </c>
      <c r="B26" s="14">
        <f>B16/B9</f>
        <v>30</v>
      </c>
    </row>
    <row r="28" spans="1:3" x14ac:dyDescent="0.25">
      <c r="A28" s="3" t="s">
        <v>18</v>
      </c>
    </row>
    <row r="29" spans="1:3" x14ac:dyDescent="0.25">
      <c r="A29" t="s">
        <v>238</v>
      </c>
    </row>
    <row r="30" spans="1:3" x14ac:dyDescent="0.25">
      <c r="A30" s="2" t="s">
        <v>239</v>
      </c>
    </row>
    <row r="31" spans="1:3" x14ac:dyDescent="0.25">
      <c r="A31" t="s">
        <v>240</v>
      </c>
    </row>
    <row r="32" spans="1:3" x14ac:dyDescent="0.25">
      <c r="A32" t="s">
        <v>19</v>
      </c>
    </row>
    <row r="33" spans="1:1" x14ac:dyDescent="0.25">
      <c r="A33"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A4B72-A216-4745-AB51-BAFF53752C83}">
  <dimension ref="A1:E31"/>
  <sheetViews>
    <sheetView workbookViewId="0">
      <selection activeCell="C24" sqref="C24"/>
    </sheetView>
  </sheetViews>
  <sheetFormatPr defaultRowHeight="15" x14ac:dyDescent="0.25"/>
  <cols>
    <col min="1" max="1" width="53.28515625" customWidth="1"/>
    <col min="2" max="2" width="9.5703125" customWidth="1"/>
    <col min="3" max="5" width="21" customWidth="1"/>
  </cols>
  <sheetData>
    <row r="1" spans="1:5" ht="18.75" x14ac:dyDescent="0.3">
      <c r="A1" s="1" t="s">
        <v>38</v>
      </c>
    </row>
    <row r="2" spans="1:5" x14ac:dyDescent="0.25">
      <c r="A2" s="2" t="s">
        <v>21</v>
      </c>
    </row>
    <row r="4" spans="1:5" x14ac:dyDescent="0.25">
      <c r="C4" s="61">
        <v>46022</v>
      </c>
      <c r="D4" s="61">
        <v>46387</v>
      </c>
      <c r="E4" s="61">
        <v>46752</v>
      </c>
    </row>
    <row r="5" spans="1:5" x14ac:dyDescent="0.25">
      <c r="A5" s="3" t="s">
        <v>39</v>
      </c>
    </row>
    <row r="6" spans="1:5" x14ac:dyDescent="0.25">
      <c r="A6" t="s">
        <v>77</v>
      </c>
      <c r="C6" s="12">
        <f>'Assumptions (v1)'!C14</f>
        <v>200</v>
      </c>
      <c r="D6" s="12">
        <f>'Assumptions (v1)'!C14</f>
        <v>200</v>
      </c>
      <c r="E6" s="12">
        <f>'Assumptions (v1)'!C14</f>
        <v>200</v>
      </c>
    </row>
    <row r="7" spans="1:5" x14ac:dyDescent="0.25">
      <c r="A7" t="s">
        <v>78</v>
      </c>
      <c r="C7" s="12">
        <f>'Assumptions (v1)'!C15</f>
        <v>50</v>
      </c>
      <c r="D7" s="12">
        <f>'Assumptions (v1)'!C15</f>
        <v>50</v>
      </c>
      <c r="E7" s="12">
        <f>'Assumptions (v1)'!C15</f>
        <v>50</v>
      </c>
    </row>
    <row r="8" spans="1:5" x14ac:dyDescent="0.25">
      <c r="A8" t="s">
        <v>40</v>
      </c>
      <c r="C8" s="14">
        <f>'Assumptions (v1)'!B26</f>
        <v>30</v>
      </c>
      <c r="D8" s="14">
        <f>'Assumptions (v1)'!B26</f>
        <v>30</v>
      </c>
      <c r="E8" s="14">
        <f>'Assumptions (v1)'!B26</f>
        <v>30</v>
      </c>
    </row>
    <row r="9" spans="1:5" x14ac:dyDescent="0.25">
      <c r="A9" t="s">
        <v>41</v>
      </c>
      <c r="C9" s="14">
        <f>'Assumptions (v1)'!B25</f>
        <v>53.333333333333336</v>
      </c>
      <c r="D9" s="14">
        <f>'Assumptions (v1)'!B25</f>
        <v>53.333333333333336</v>
      </c>
      <c r="E9" s="14">
        <f>'Assumptions (v1)'!B25</f>
        <v>53.333333333333336</v>
      </c>
    </row>
    <row r="11" spans="1:5" ht="15.75" thickBot="1" x14ac:dyDescent="0.3">
      <c r="A11" s="3" t="s">
        <v>42</v>
      </c>
      <c r="C11" s="28">
        <f>SUM(C6:C9)</f>
        <v>333.33333333333331</v>
      </c>
      <c r="D11" s="28">
        <f>SUM(D6:D9)</f>
        <v>333.33333333333331</v>
      </c>
      <c r="E11" s="28">
        <f>SUM(E6:E9)</f>
        <v>333.33333333333331</v>
      </c>
    </row>
    <row r="12" spans="1:5" ht="15.75" thickTop="1" x14ac:dyDescent="0.25"/>
    <row r="13" spans="1:5" x14ac:dyDescent="0.25">
      <c r="A13" s="3" t="s">
        <v>43</v>
      </c>
    </row>
    <row r="14" spans="1:5" x14ac:dyDescent="0.25">
      <c r="A14" t="s">
        <v>44</v>
      </c>
      <c r="C14" s="17">
        <f>'Assumptions (v1)'!C14</f>
        <v>200</v>
      </c>
      <c r="D14" s="17">
        <f>'Assumptions (v1)'!C14</f>
        <v>200</v>
      </c>
      <c r="E14" s="17">
        <f>'Assumptions (v1)'!C14</f>
        <v>200</v>
      </c>
    </row>
    <row r="15" spans="1:5" x14ac:dyDescent="0.25">
      <c r="A15" s="3" t="s">
        <v>45</v>
      </c>
      <c r="C15" s="17">
        <f>'Assumptions (v1)'!C15</f>
        <v>50</v>
      </c>
      <c r="D15" s="17">
        <f>'Assumptions (v1)'!C15</f>
        <v>50</v>
      </c>
      <c r="E15" s="17">
        <f>'Assumptions (v1)'!C15</f>
        <v>50</v>
      </c>
    </row>
    <row r="17" spans="1:5" ht="15.75" thickBot="1" x14ac:dyDescent="0.3">
      <c r="A17" s="3" t="s">
        <v>46</v>
      </c>
      <c r="C17" s="28">
        <f>-(C14+C15)</f>
        <v>-250</v>
      </c>
      <c r="D17" s="28">
        <f>-(D14+D15)</f>
        <v>-250</v>
      </c>
      <c r="E17" s="28">
        <f>-(E14+E15)</f>
        <v>-250</v>
      </c>
    </row>
    <row r="18" spans="1:5" ht="15.75" thickTop="1" x14ac:dyDescent="0.25">
      <c r="B18">
        <f>B15+B16+B17</f>
        <v>0</v>
      </c>
    </row>
    <row r="19" spans="1:5" x14ac:dyDescent="0.25">
      <c r="A19" s="18" t="s">
        <v>52</v>
      </c>
      <c r="C19" s="19" t="s">
        <v>22</v>
      </c>
      <c r="D19" s="19" t="s">
        <v>23</v>
      </c>
      <c r="E19" s="19" t="s">
        <v>24</v>
      </c>
    </row>
    <row r="20" spans="1:5" x14ac:dyDescent="0.25">
      <c r="A20" t="s">
        <v>53</v>
      </c>
      <c r="C20" s="20">
        <f>'Assumptions (v1)'!C14+'Assumptions (v1)'!C15</f>
        <v>250</v>
      </c>
      <c r="D20" s="20">
        <f>'Assumptions (v1)'!C14+'Assumptions (v1)'!C15</f>
        <v>250</v>
      </c>
      <c r="E20" s="20">
        <f>'Assumptions (v1)'!C14+'Assumptions (v1)'!C15</f>
        <v>250</v>
      </c>
    </row>
    <row r="22" spans="1:5" ht="15.75" thickBot="1" x14ac:dyDescent="0.3">
      <c r="A22" s="21" t="s">
        <v>47</v>
      </c>
      <c r="B22" s="22"/>
      <c r="C22" s="29">
        <f>C11+C17</f>
        <v>83.333333333333314</v>
      </c>
      <c r="D22" s="29">
        <f>D11+D17</f>
        <v>83.333333333333314</v>
      </c>
      <c r="E22" s="29">
        <f>E11+E17</f>
        <v>83.333333333333314</v>
      </c>
    </row>
    <row r="23" spans="1:5" ht="15.75" thickTop="1" x14ac:dyDescent="0.25"/>
    <row r="24" spans="1:5" ht="15.75" thickBot="1" x14ac:dyDescent="0.3">
      <c r="A24" s="3" t="s">
        <v>48</v>
      </c>
      <c r="C24" s="28">
        <f>C22</f>
        <v>83.333333333333314</v>
      </c>
      <c r="D24" s="28">
        <f>D22</f>
        <v>83.333333333333314</v>
      </c>
      <c r="E24" s="28">
        <f>E22</f>
        <v>83.333333333333314</v>
      </c>
    </row>
    <row r="25" spans="1:5" ht="15.75" thickTop="1" x14ac:dyDescent="0.25"/>
    <row r="26" spans="1:5" x14ac:dyDescent="0.25">
      <c r="A26" s="3" t="s">
        <v>49</v>
      </c>
      <c r="C26" s="16">
        <f>C24</f>
        <v>83.333333333333314</v>
      </c>
      <c r="D26" s="16">
        <f>C26+D24</f>
        <v>166.66666666666663</v>
      </c>
      <c r="E26" s="16">
        <f>D26+E24</f>
        <v>249.99999999999994</v>
      </c>
    </row>
    <row r="28" spans="1:5" x14ac:dyDescent="0.25">
      <c r="A28" s="15" t="s">
        <v>50</v>
      </c>
    </row>
    <row r="29" spans="1:5" x14ac:dyDescent="0.25">
      <c r="A29" t="s">
        <v>51</v>
      </c>
    </row>
    <row r="30" spans="1:5" x14ac:dyDescent="0.25">
      <c r="A30" t="s">
        <v>74</v>
      </c>
    </row>
    <row r="31" spans="1:5" x14ac:dyDescent="0.25">
      <c r="A31" t="s">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A0A5-C9BE-439C-A980-262BE7C7F9B6}">
  <dimension ref="A1:E22"/>
  <sheetViews>
    <sheetView tabSelected="1" workbookViewId="0">
      <selection activeCell="C29" sqref="C29"/>
    </sheetView>
  </sheetViews>
  <sheetFormatPr defaultRowHeight="15" x14ac:dyDescent="0.25"/>
  <cols>
    <col min="1" max="1" width="53.28515625" customWidth="1"/>
    <col min="2" max="5" width="21" customWidth="1"/>
  </cols>
  <sheetData>
    <row r="1" spans="1:5" ht="18.75" x14ac:dyDescent="0.3">
      <c r="A1" s="1" t="s">
        <v>20</v>
      </c>
    </row>
    <row r="2" spans="1:5" x14ac:dyDescent="0.25">
      <c r="A2" s="2" t="s">
        <v>21</v>
      </c>
    </row>
    <row r="4" spans="1:5" x14ac:dyDescent="0.25">
      <c r="B4" s="61">
        <v>45658</v>
      </c>
      <c r="C4" s="61">
        <v>46022</v>
      </c>
      <c r="D4" s="61">
        <v>46387</v>
      </c>
      <c r="E4" s="61">
        <v>46752</v>
      </c>
    </row>
    <row r="5" spans="1:5" x14ac:dyDescent="0.25">
      <c r="A5" s="3" t="s">
        <v>25</v>
      </c>
    </row>
    <row r="6" spans="1:5" x14ac:dyDescent="0.25">
      <c r="A6" t="s">
        <v>26</v>
      </c>
      <c r="B6" s="12">
        <f>'Assumptions (v1)'!B13</f>
        <v>1000</v>
      </c>
      <c r="C6" s="12">
        <f>B6-'P&amp;L (v1)'!C20</f>
        <v>750</v>
      </c>
      <c r="D6" s="12">
        <f>C6-'P&amp;L (v1)'!D20</f>
        <v>500</v>
      </c>
      <c r="E6" s="12">
        <f>D6-'P&amp;L (v1)'!E20</f>
        <v>250</v>
      </c>
    </row>
    <row r="7" spans="1:5" ht="15.75" thickBot="1" x14ac:dyDescent="0.3">
      <c r="A7" s="3" t="s">
        <v>27</v>
      </c>
      <c r="B7" s="27">
        <f>B6</f>
        <v>1000</v>
      </c>
      <c r="C7" s="27">
        <f>C6</f>
        <v>750</v>
      </c>
      <c r="D7" s="27">
        <f>D6</f>
        <v>500</v>
      </c>
      <c r="E7" s="27">
        <f>E6</f>
        <v>250</v>
      </c>
    </row>
    <row r="8" spans="1:5" ht="15.75" thickTop="1" x14ac:dyDescent="0.25"/>
    <row r="9" spans="1:5" x14ac:dyDescent="0.25">
      <c r="A9" s="3" t="s">
        <v>28</v>
      </c>
    </row>
    <row r="10" spans="1:5" x14ac:dyDescent="0.25">
      <c r="A10" s="3" t="s">
        <v>29</v>
      </c>
    </row>
    <row r="11" spans="1:5" x14ac:dyDescent="0.25">
      <c r="A11" s="3" t="s">
        <v>80</v>
      </c>
      <c r="B11" s="12">
        <f>'Assumptions (v1)'!B19</f>
        <v>750</v>
      </c>
      <c r="C11" s="12">
        <f>B11-'P&amp;L (v1)'!C6-'P&amp;L (v1)'!C7</f>
        <v>500</v>
      </c>
      <c r="D11" s="12">
        <f>C11-'P&amp;L (v1)'!D6-'P&amp;L (v1)'!D7</f>
        <v>250</v>
      </c>
      <c r="E11" s="12">
        <f>D11-'P&amp;L (v1)'!E6-'P&amp;L (v1)'!E7</f>
        <v>0</v>
      </c>
    </row>
    <row r="12" spans="1:5" x14ac:dyDescent="0.25">
      <c r="A12" s="3" t="s">
        <v>30</v>
      </c>
      <c r="B12" s="12">
        <f>'Assumptions (v1)'!B20</f>
        <v>90</v>
      </c>
      <c r="C12" s="12">
        <f>B12-'P&amp;L (v1)'!C8</f>
        <v>60</v>
      </c>
      <c r="D12" s="12">
        <f>C12-'P&amp;L (v1)'!D8</f>
        <v>30</v>
      </c>
      <c r="E12" s="12">
        <f>D12-'P&amp;L (v1)'!E8</f>
        <v>0</v>
      </c>
    </row>
    <row r="13" spans="1:5" x14ac:dyDescent="0.25">
      <c r="A13" s="3" t="s">
        <v>81</v>
      </c>
      <c r="B13" s="26">
        <f>B11+B12</f>
        <v>840</v>
      </c>
      <c r="C13" s="26">
        <f>C11+C12</f>
        <v>560</v>
      </c>
      <c r="D13" s="26">
        <f>D11+D12</f>
        <v>280</v>
      </c>
      <c r="E13" s="26">
        <f>E11+E12</f>
        <v>0</v>
      </c>
    </row>
    <row r="14" spans="1:5" x14ac:dyDescent="0.25">
      <c r="A14" s="3" t="s">
        <v>31</v>
      </c>
      <c r="B14" s="12">
        <f>'Assumptions (v1)'!B21</f>
        <v>160</v>
      </c>
      <c r="C14" s="12">
        <f>B14-'P&amp;L (v1)'!C9</f>
        <v>106.66666666666666</v>
      </c>
      <c r="D14" s="12">
        <f>C14-'P&amp;L (v1)'!D9</f>
        <v>53.333333333333321</v>
      </c>
      <c r="E14" s="12">
        <f>D14-'P&amp;L (v1)'!E9</f>
        <v>0</v>
      </c>
    </row>
    <row r="15" spans="1:5" ht="15.75" thickBot="1" x14ac:dyDescent="0.3">
      <c r="A15" s="3" t="s">
        <v>32</v>
      </c>
      <c r="B15" s="27">
        <f>B11+B12+B14</f>
        <v>1000</v>
      </c>
      <c r="C15" s="27">
        <f>C11+C12+C14</f>
        <v>666.66666666666663</v>
      </c>
      <c r="D15" s="27">
        <f>D11+D12+D14</f>
        <v>333.33333333333331</v>
      </c>
      <c r="E15" s="27">
        <f>E11+E12+E14</f>
        <v>0</v>
      </c>
    </row>
    <row r="16" spans="1:5" ht="15.75" thickTop="1" x14ac:dyDescent="0.25">
      <c r="A16" s="3" t="s">
        <v>33</v>
      </c>
      <c r="B16" s="13">
        <f>B15</f>
        <v>1000</v>
      </c>
      <c r="C16" s="13">
        <f>C15</f>
        <v>666.66666666666663</v>
      </c>
      <c r="D16" s="13">
        <f>D15</f>
        <v>333.33333333333331</v>
      </c>
      <c r="E16" s="13">
        <f>E15</f>
        <v>0</v>
      </c>
    </row>
    <row r="18" spans="1:5" x14ac:dyDescent="0.25">
      <c r="A18" s="3" t="s">
        <v>34</v>
      </c>
      <c r="B18" s="12"/>
    </row>
    <row r="19" spans="1:5" x14ac:dyDescent="0.25">
      <c r="A19" s="3" t="s">
        <v>35</v>
      </c>
      <c r="B19" s="12">
        <v>0</v>
      </c>
      <c r="C19" s="12">
        <f>B19+'P&amp;L (v1)'!C24</f>
        <v>83.333333333333314</v>
      </c>
      <c r="D19" s="12">
        <f>C19+'P&amp;L (v1)'!D24</f>
        <v>166.66666666666663</v>
      </c>
      <c r="E19" s="12">
        <f>D19+'P&amp;L (v1)'!E24</f>
        <v>249.99999999999994</v>
      </c>
    </row>
    <row r="20" spans="1:5" ht="15.75" thickBot="1" x14ac:dyDescent="0.3">
      <c r="A20" s="3" t="s">
        <v>36</v>
      </c>
      <c r="B20" s="27">
        <f>B19</f>
        <v>0</v>
      </c>
      <c r="C20" s="27">
        <f>C19</f>
        <v>83.333333333333314</v>
      </c>
      <c r="D20" s="27">
        <f>D19</f>
        <v>166.66666666666663</v>
      </c>
      <c r="E20" s="27">
        <f>E19</f>
        <v>249.99999999999994</v>
      </c>
    </row>
    <row r="21" spans="1:5" ht="15.75" thickTop="1" x14ac:dyDescent="0.25"/>
    <row r="22" spans="1:5" x14ac:dyDescent="0.25">
      <c r="A22" s="15" t="s">
        <v>37</v>
      </c>
      <c r="B22" s="3" t="str">
        <f>IF(ABS(B7-B16-B20)&lt;0.01,"✅ Balanced","❌ Error")</f>
        <v>✅ Balanced</v>
      </c>
      <c r="C22" s="3" t="str">
        <f>IF(ABS(C7-C16-C20)&lt;0.01,"✅ Balanced","❌ Error")</f>
        <v>✅ Balanced</v>
      </c>
      <c r="D22" s="3" t="str">
        <f>IF(ABS(D7-D16-D20)&lt;0.01,"✅ Balanced","❌ Error")</f>
        <v>✅ Balanced</v>
      </c>
      <c r="E22" s="3" t="str">
        <f>IF(ABS(E7-E16-E20)&lt;0.01,"✅ Balanced","❌ Error")</f>
        <v>✅ Balanced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6DED-7139-46FC-9A9A-8DBB2067B976}">
  <dimension ref="A1:E37"/>
  <sheetViews>
    <sheetView workbookViewId="0">
      <selection activeCell="C40" sqref="C40"/>
    </sheetView>
  </sheetViews>
  <sheetFormatPr defaultRowHeight="15" x14ac:dyDescent="0.25"/>
  <cols>
    <col min="1" max="1" width="53.28515625" customWidth="1"/>
    <col min="2" max="2" width="9.5703125" customWidth="1"/>
    <col min="3" max="5" width="21" customWidth="1"/>
  </cols>
  <sheetData>
    <row r="1" spans="1:5" ht="18.75" x14ac:dyDescent="0.3">
      <c r="A1" s="1" t="s">
        <v>54</v>
      </c>
    </row>
    <row r="2" spans="1:5" x14ac:dyDescent="0.25">
      <c r="A2" s="2" t="s">
        <v>55</v>
      </c>
    </row>
    <row r="4" spans="1:5" x14ac:dyDescent="0.25">
      <c r="C4" s="61">
        <v>46022</v>
      </c>
      <c r="D4" s="61">
        <v>46387</v>
      </c>
      <c r="E4" s="61">
        <v>46752</v>
      </c>
    </row>
    <row r="6" spans="1:5" x14ac:dyDescent="0.25">
      <c r="A6" s="3" t="s">
        <v>56</v>
      </c>
      <c r="C6" s="13">
        <f>'Balance Sheet (v1)'!B6</f>
        <v>1000</v>
      </c>
      <c r="D6" s="13">
        <f>'Balance Sheet (v1)'!C6</f>
        <v>750</v>
      </c>
      <c r="E6" s="13">
        <f>'Balance Sheet (v1)'!D6</f>
        <v>500</v>
      </c>
    </row>
    <row r="8" spans="1:5" x14ac:dyDescent="0.25">
      <c r="A8" s="3" t="s">
        <v>57</v>
      </c>
    </row>
    <row r="9" spans="1:5" x14ac:dyDescent="0.25">
      <c r="A9" t="s">
        <v>58</v>
      </c>
      <c r="C9" s="24">
        <f>-'Assumptions (v1)'!C14</f>
        <v>-200</v>
      </c>
      <c r="D9" s="24">
        <f>-'Assumptions (v1)'!C14</f>
        <v>-200</v>
      </c>
      <c r="E9" s="24">
        <f>-'Assumptions (v1)'!C14</f>
        <v>-200</v>
      </c>
    </row>
    <row r="10" spans="1:5" x14ac:dyDescent="0.25">
      <c r="A10" s="3" t="s">
        <v>59</v>
      </c>
      <c r="C10" s="24">
        <f>-'Assumptions (v1)'!C15</f>
        <v>-50</v>
      </c>
      <c r="D10" s="24">
        <f>-'Assumptions (v1)'!C15</f>
        <v>-50</v>
      </c>
      <c r="E10" s="24">
        <f>-'Assumptions (v1)'!C15</f>
        <v>-50</v>
      </c>
    </row>
    <row r="11" spans="1:5" ht="15.75" thickBot="1" x14ac:dyDescent="0.3">
      <c r="A11" s="3" t="s">
        <v>60</v>
      </c>
      <c r="C11" s="30">
        <f>SUM(C9:C10)</f>
        <v>-250</v>
      </c>
      <c r="D11" s="30">
        <f>SUM(D9:D10)</f>
        <v>-250</v>
      </c>
      <c r="E11" s="30">
        <f>SUM(E9:E10)</f>
        <v>-250</v>
      </c>
    </row>
    <row r="12" spans="1:5" ht="15.75" thickTop="1" x14ac:dyDescent="0.25"/>
    <row r="13" spans="1:5" ht="15.75" thickBot="1" x14ac:dyDescent="0.3">
      <c r="A13" s="3" t="s">
        <v>61</v>
      </c>
      <c r="C13" s="27">
        <f>C6+C11</f>
        <v>750</v>
      </c>
      <c r="D13" s="27">
        <f>D6+D11</f>
        <v>500</v>
      </c>
      <c r="E13" s="27">
        <f>E6+E11</f>
        <v>250</v>
      </c>
    </row>
    <row r="14" spans="1:5" ht="15.75" thickTop="1" x14ac:dyDescent="0.25"/>
    <row r="15" spans="1:5" x14ac:dyDescent="0.25">
      <c r="A15" s="15" t="s">
        <v>62</v>
      </c>
      <c r="C15" s="3" t="str">
        <f>IF(ABS(C13-'Balance Sheet (v1)'!C6)&lt;0.01,"✅ Ties","❌ Error")</f>
        <v>✅ Ties</v>
      </c>
      <c r="D15" s="3" t="str">
        <f>IF(ABS(D13-'Balance Sheet (v1)'!D6)&lt;0.01,"✅ Ties","❌ Error")</f>
        <v>✅ Ties</v>
      </c>
      <c r="E15" s="3" t="str">
        <f>IF(ABS(E13-'Balance Sheet (v1)'!E6)&lt;0.01,"✅ Ties","❌ Error")</f>
        <v>✅ Ties</v>
      </c>
    </row>
    <row r="18" spans="1:5" ht="15.75" x14ac:dyDescent="0.25">
      <c r="A18" s="25" t="s">
        <v>63</v>
      </c>
      <c r="B18">
        <f>B15+B16+B17</f>
        <v>0</v>
      </c>
    </row>
    <row r="19" spans="1:5" x14ac:dyDescent="0.25">
      <c r="A19" s="2" t="s">
        <v>64</v>
      </c>
    </row>
    <row r="20" spans="1:5" x14ac:dyDescent="0.25">
      <c r="C20" s="10" t="s">
        <v>22</v>
      </c>
      <c r="D20" s="10" t="s">
        <v>23</v>
      </c>
      <c r="E20" s="10" t="s">
        <v>24</v>
      </c>
    </row>
    <row r="22" spans="1:5" x14ac:dyDescent="0.25">
      <c r="A22" s="3" t="s">
        <v>65</v>
      </c>
      <c r="C22" s="16">
        <f>'Balance Sheet (v1)'!B15</f>
        <v>1000</v>
      </c>
      <c r="D22" s="16">
        <f>'Balance Sheet (v1)'!C15</f>
        <v>666.66666666666663</v>
      </c>
      <c r="E22" s="16">
        <f>'Balance Sheet (v1)'!D15</f>
        <v>333.33333333333331</v>
      </c>
    </row>
    <row r="24" spans="1:5" x14ac:dyDescent="0.25">
      <c r="A24" s="3" t="s">
        <v>66</v>
      </c>
    </row>
    <row r="25" spans="1:5" x14ac:dyDescent="0.25">
      <c r="A25" t="s">
        <v>79</v>
      </c>
      <c r="C25" s="14">
        <f>-('P&amp;L (v1)'!C6+'P&amp;L (v1)'!C7)</f>
        <v>-250</v>
      </c>
      <c r="D25" s="14">
        <f>-('P&amp;L (v1)'!D6+'P&amp;L (v1)'!D7)</f>
        <v>-250</v>
      </c>
      <c r="E25" s="14">
        <f>-('P&amp;L (v1)'!E6+'P&amp;L (v1)'!E7)</f>
        <v>-250</v>
      </c>
    </row>
    <row r="26" spans="1:5" x14ac:dyDescent="0.25">
      <c r="A26" s="3" t="s">
        <v>40</v>
      </c>
      <c r="C26" s="14">
        <f>-'P&amp;L (v1)'!C8</f>
        <v>-30</v>
      </c>
      <c r="D26" s="14">
        <f>-'P&amp;L (v1)'!D8</f>
        <v>-30</v>
      </c>
      <c r="E26" s="14">
        <f>-'P&amp;L (v1)'!E8</f>
        <v>-30</v>
      </c>
    </row>
    <row r="27" spans="1:5" x14ac:dyDescent="0.25">
      <c r="A27" t="s">
        <v>67</v>
      </c>
      <c r="C27" s="14">
        <f>-'P&amp;L (v1)'!C9</f>
        <v>-53.333333333333336</v>
      </c>
      <c r="D27" s="14">
        <f>-'P&amp;L (v1)'!D9</f>
        <v>-53.333333333333336</v>
      </c>
      <c r="E27" s="14">
        <f>-'P&amp;L (v1)'!E9</f>
        <v>-53.333333333333336</v>
      </c>
    </row>
    <row r="28" spans="1:5" ht="15.75" thickBot="1" x14ac:dyDescent="0.3">
      <c r="A28" s="3" t="s">
        <v>68</v>
      </c>
      <c r="C28" s="28">
        <f>SUM(C25:C27)</f>
        <v>-333.33333333333331</v>
      </c>
      <c r="D28" s="28">
        <f>SUM(D25:D27)</f>
        <v>-333.33333333333331</v>
      </c>
      <c r="E28" s="28">
        <f>SUM(E25:E27)</f>
        <v>-333.33333333333331</v>
      </c>
    </row>
    <row r="29" spans="1:5" ht="15.75" thickTop="1" x14ac:dyDescent="0.25"/>
    <row r="30" spans="1:5" ht="15.75" thickBot="1" x14ac:dyDescent="0.3">
      <c r="A30" s="3" t="s">
        <v>69</v>
      </c>
      <c r="C30" s="28">
        <f>C22+C28</f>
        <v>666.66666666666674</v>
      </c>
      <c r="D30" s="28">
        <f>D22+D28</f>
        <v>333.33333333333331</v>
      </c>
      <c r="E30" s="28">
        <f>E22+E28</f>
        <v>0</v>
      </c>
    </row>
    <row r="31" spans="1:5" ht="15.75" thickTop="1" x14ac:dyDescent="0.25"/>
    <row r="32" spans="1:5" x14ac:dyDescent="0.25">
      <c r="A32" s="15" t="s">
        <v>62</v>
      </c>
      <c r="C32" s="3" t="str">
        <f>IF(ABS(C30-'Balance Sheet (v1)'!C15)&lt;0.01,"✅ Ties","❌ Error")</f>
        <v>✅ Ties</v>
      </c>
      <c r="D32" s="3" t="str">
        <f>IF(ABS(D30-'Balance Sheet (v1)'!D15)&lt;0.01,"✅ Ties","❌ Error")</f>
        <v>✅ Ties</v>
      </c>
      <c r="E32" s="3" t="str">
        <f>IF(ABS(E30-'Balance Sheet (v1)'!E15)&lt;0.01,"✅ Ties","❌ Error")</f>
        <v>✅ Ties</v>
      </c>
    </row>
    <row r="34" spans="1:1" x14ac:dyDescent="0.25">
      <c r="A34" s="15" t="s">
        <v>70</v>
      </c>
    </row>
    <row r="35" spans="1:1" x14ac:dyDescent="0.25">
      <c r="A35" t="s">
        <v>71</v>
      </c>
    </row>
    <row r="36" spans="1:1" x14ac:dyDescent="0.25">
      <c r="A36" s="15" t="s">
        <v>72</v>
      </c>
    </row>
    <row r="37" spans="1:1" x14ac:dyDescent="0.25">
      <c r="A37" t="s">
        <v>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2A691-3431-42BC-9C56-6E42ABD5D3C8}">
  <sheetPr>
    <tabColor theme="4" tint="0.59999389629810485"/>
  </sheetPr>
  <dimension ref="A1"/>
  <sheetViews>
    <sheetView workbookViewId="0">
      <selection activeCell="L46" sqref="L46"/>
    </sheetView>
  </sheetViews>
  <sheetFormatPr defaultRowHeight="15" x14ac:dyDescent="0.25"/>
  <sheetData>
    <row r="1" spans="1:1" ht="15.75" x14ac:dyDescent="0.25">
      <c r="A1" s="3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9434-755F-4F01-8DB5-31BC73456D21}">
  <dimension ref="A1:G60"/>
  <sheetViews>
    <sheetView workbookViewId="0">
      <selection activeCell="H21" sqref="H21"/>
    </sheetView>
  </sheetViews>
  <sheetFormatPr defaultRowHeight="15" x14ac:dyDescent="0.25"/>
  <cols>
    <col min="1" max="1" width="53.28515625" customWidth="1"/>
    <col min="2" max="2" width="2.85546875" customWidth="1"/>
    <col min="3" max="8" width="18.140625" customWidth="1"/>
  </cols>
  <sheetData>
    <row r="1" spans="1:6" ht="18.75" x14ac:dyDescent="0.3">
      <c r="A1" s="1" t="s">
        <v>142</v>
      </c>
    </row>
    <row r="2" spans="1:6" x14ac:dyDescent="0.25">
      <c r="A2" s="63" t="s">
        <v>143</v>
      </c>
    </row>
    <row r="3" spans="1:6" x14ac:dyDescent="0.25">
      <c r="A3" s="45" t="s">
        <v>145</v>
      </c>
    </row>
    <row r="4" spans="1:6" x14ac:dyDescent="0.25">
      <c r="A4" s="45" t="s">
        <v>148</v>
      </c>
    </row>
    <row r="5" spans="1:6" x14ac:dyDescent="0.25">
      <c r="A5" s="45" t="s">
        <v>149</v>
      </c>
    </row>
    <row r="7" spans="1:6" x14ac:dyDescent="0.25">
      <c r="A7" s="4" t="s">
        <v>83</v>
      </c>
      <c r="B7" s="5"/>
      <c r="C7" s="5"/>
    </row>
    <row r="8" spans="1:6" x14ac:dyDescent="0.25">
      <c r="A8" t="s">
        <v>2</v>
      </c>
      <c r="C8" s="6">
        <v>3</v>
      </c>
    </row>
    <row r="9" spans="1:6" x14ac:dyDescent="0.25">
      <c r="A9" t="s">
        <v>7</v>
      </c>
      <c r="C9" s="11">
        <v>1000</v>
      </c>
    </row>
    <row r="11" spans="1:6" x14ac:dyDescent="0.25">
      <c r="A11" s="4" t="s">
        <v>84</v>
      </c>
      <c r="B11" s="5"/>
      <c r="C11" s="10" t="s">
        <v>5</v>
      </c>
      <c r="D11" s="61">
        <v>46022</v>
      </c>
      <c r="E11" s="61">
        <v>46387</v>
      </c>
      <c r="F11" s="61">
        <v>46752</v>
      </c>
    </row>
    <row r="12" spans="1:6" x14ac:dyDescent="0.25">
      <c r="A12" t="s">
        <v>8</v>
      </c>
      <c r="C12" s="11">
        <v>600</v>
      </c>
      <c r="D12" s="12">
        <f>C12/C8</f>
        <v>200</v>
      </c>
      <c r="E12" s="12">
        <f>C12/C8</f>
        <v>200</v>
      </c>
      <c r="F12" s="12">
        <f>C12/C8</f>
        <v>200</v>
      </c>
    </row>
    <row r="13" spans="1:6" x14ac:dyDescent="0.25">
      <c r="A13" t="s">
        <v>9</v>
      </c>
      <c r="C13" s="11">
        <v>150</v>
      </c>
      <c r="D13" s="12">
        <f>C13/C8</f>
        <v>50</v>
      </c>
      <c r="E13" s="12">
        <f>C13/C8</f>
        <v>50</v>
      </c>
      <c r="F13" s="12">
        <f>C13/C8</f>
        <v>50</v>
      </c>
    </row>
    <row r="14" spans="1:6" x14ac:dyDescent="0.25">
      <c r="A14" t="s">
        <v>85</v>
      </c>
      <c r="C14" s="13">
        <f>C12+C13</f>
        <v>750</v>
      </c>
      <c r="D14" s="13">
        <f>D12+D13</f>
        <v>250</v>
      </c>
      <c r="E14" s="13">
        <f>E12+E13</f>
        <v>250</v>
      </c>
      <c r="F14" s="13">
        <f>F12+F13</f>
        <v>250</v>
      </c>
    </row>
    <row r="15" spans="1:6" x14ac:dyDescent="0.25">
      <c r="A15" t="s">
        <v>86</v>
      </c>
      <c r="C15" s="11">
        <v>90</v>
      </c>
    </row>
    <row r="17" spans="1:7" x14ac:dyDescent="0.25">
      <c r="A17" s="4" t="s">
        <v>87</v>
      </c>
      <c r="B17" s="5"/>
      <c r="C17" s="5"/>
      <c r="D17" s="10" t="s">
        <v>88</v>
      </c>
      <c r="E17" s="10" t="s">
        <v>89</v>
      </c>
      <c r="F17" s="10" t="s">
        <v>90</v>
      </c>
    </row>
    <row r="18" spans="1:7" x14ac:dyDescent="0.25">
      <c r="A18" t="s">
        <v>91</v>
      </c>
      <c r="C18" s="33" t="s">
        <v>94</v>
      </c>
      <c r="D18" s="32">
        <v>0.03</v>
      </c>
      <c r="E18" s="32">
        <v>3.5000000000000003E-2</v>
      </c>
      <c r="F18" s="32">
        <v>0.04</v>
      </c>
    </row>
    <row r="19" spans="1:7" x14ac:dyDescent="0.25">
      <c r="A19" t="s">
        <v>92</v>
      </c>
      <c r="D19" s="32">
        <v>0.03</v>
      </c>
      <c r="E19" s="32">
        <v>3.5000000000000003E-2</v>
      </c>
      <c r="F19" s="32"/>
    </row>
    <row r="20" spans="1:7" x14ac:dyDescent="0.25">
      <c r="A20" t="s">
        <v>93</v>
      </c>
      <c r="D20" s="32">
        <v>0.03</v>
      </c>
      <c r="E20" s="32"/>
      <c r="F20" s="32"/>
    </row>
    <row r="22" spans="1:7" x14ac:dyDescent="0.25">
      <c r="A22" s="4" t="s">
        <v>95</v>
      </c>
      <c r="B22" s="5"/>
      <c r="C22" s="5"/>
      <c r="D22" s="10" t="s">
        <v>96</v>
      </c>
      <c r="E22" s="10" t="s">
        <v>97</v>
      </c>
      <c r="F22" s="10" t="s">
        <v>98</v>
      </c>
    </row>
    <row r="23" spans="1:7" x14ac:dyDescent="0.25">
      <c r="A23" t="s">
        <v>99</v>
      </c>
      <c r="D23" s="34">
        <f>1/(1+D18)^1</f>
        <v>0.970873786407767</v>
      </c>
      <c r="E23" s="34">
        <f>1/(1+E18)^2</f>
        <v>0.93351070036640305</v>
      </c>
      <c r="F23" s="34">
        <f>1/(1+F18)^3</f>
        <v>0.88899635867091487</v>
      </c>
    </row>
    <row r="24" spans="1:7" x14ac:dyDescent="0.25">
      <c r="A24" t="s">
        <v>100</v>
      </c>
      <c r="D24" s="34">
        <f>1/(1+D19)^1</f>
        <v>0.970873786407767</v>
      </c>
      <c r="E24" s="34">
        <f>1/(1+E19)^2</f>
        <v>0.93351070036640305</v>
      </c>
    </row>
    <row r="25" spans="1:7" x14ac:dyDescent="0.25">
      <c r="A25" t="s">
        <v>101</v>
      </c>
      <c r="D25" s="34">
        <f>1/(1+D20)^1</f>
        <v>0.970873786407767</v>
      </c>
    </row>
    <row r="27" spans="1:7" x14ac:dyDescent="0.25">
      <c r="A27" s="4" t="s">
        <v>102</v>
      </c>
      <c r="B27" s="5"/>
      <c r="C27" s="5"/>
      <c r="D27" s="35" t="s">
        <v>103</v>
      </c>
      <c r="E27" s="35" t="s">
        <v>104</v>
      </c>
      <c r="F27" s="35" t="s">
        <v>105</v>
      </c>
      <c r="G27" s="35" t="s">
        <v>106</v>
      </c>
    </row>
    <row r="28" spans="1:7" x14ac:dyDescent="0.25">
      <c r="A28" t="s">
        <v>107</v>
      </c>
      <c r="D28" s="36">
        <f>D14*D23</f>
        <v>242.71844660194176</v>
      </c>
      <c r="E28" s="36">
        <f>E14*E23</f>
        <v>233.37767509160076</v>
      </c>
      <c r="F28" s="36">
        <f>F14*F23</f>
        <v>222.24908966772873</v>
      </c>
      <c r="G28" s="37">
        <f>SUM(D28:F28)</f>
        <v>698.34521136127125</v>
      </c>
    </row>
    <row r="29" spans="1:7" x14ac:dyDescent="0.25">
      <c r="A29" t="s">
        <v>108</v>
      </c>
      <c r="D29" s="8"/>
      <c r="E29" s="36">
        <f>E14*D24</f>
        <v>242.71844660194176</v>
      </c>
      <c r="F29" s="36">
        <f>F14*E24</f>
        <v>233.37767509160076</v>
      </c>
      <c r="G29" s="37">
        <f>SUM(E29:F29)</f>
        <v>476.0961216935425</v>
      </c>
    </row>
    <row r="30" spans="1:7" x14ac:dyDescent="0.25">
      <c r="A30" t="s">
        <v>109</v>
      </c>
      <c r="D30" s="8"/>
      <c r="E30" s="8"/>
      <c r="F30" s="36">
        <f>F14*D25</f>
        <v>242.71844660194176</v>
      </c>
      <c r="G30" s="37">
        <f>F30</f>
        <v>242.71844660194176</v>
      </c>
    </row>
    <row r="31" spans="1:7" x14ac:dyDescent="0.25">
      <c r="A31" t="s">
        <v>110</v>
      </c>
      <c r="G31" s="37">
        <v>0</v>
      </c>
    </row>
    <row r="33" spans="1:7" x14ac:dyDescent="0.25">
      <c r="A33" t="s">
        <v>111</v>
      </c>
      <c r="E33" s="36">
        <f>E14*D23</f>
        <v>242.71844660194176</v>
      </c>
      <c r="F33" s="36">
        <f>F14*E23</f>
        <v>233.37767509160076</v>
      </c>
      <c r="G33" s="37">
        <f>SUM(E33:F33)</f>
        <v>476.0961216935425</v>
      </c>
    </row>
    <row r="34" spans="1:7" x14ac:dyDescent="0.25">
      <c r="A34" t="s">
        <v>112</v>
      </c>
      <c r="F34" s="36">
        <f>F14*D23</f>
        <v>242.71844660194176</v>
      </c>
      <c r="G34" s="37">
        <f>F34</f>
        <v>242.71844660194176</v>
      </c>
    </row>
    <row r="36" spans="1:7" x14ac:dyDescent="0.25">
      <c r="A36" s="4" t="s">
        <v>113</v>
      </c>
      <c r="B36" s="5"/>
      <c r="C36" s="5"/>
      <c r="D36" s="61">
        <v>46022</v>
      </c>
      <c r="E36" s="61">
        <v>46387</v>
      </c>
      <c r="F36" s="61">
        <v>46752</v>
      </c>
    </row>
    <row r="37" spans="1:7" x14ac:dyDescent="0.25">
      <c r="A37" t="s">
        <v>114</v>
      </c>
      <c r="D37" s="36">
        <f>G28</f>
        <v>698.34521136127125</v>
      </c>
      <c r="E37" s="36">
        <f>G29</f>
        <v>476.0961216935425</v>
      </c>
      <c r="F37" s="36">
        <f>G30</f>
        <v>242.71844660194176</v>
      </c>
    </row>
    <row r="38" spans="1:7" x14ac:dyDescent="0.25">
      <c r="A38" t="s">
        <v>115</v>
      </c>
      <c r="D38" s="36">
        <f>-D14</f>
        <v>-250</v>
      </c>
      <c r="E38" s="36">
        <f>-E14</f>
        <v>-250</v>
      </c>
      <c r="F38" s="36">
        <f>-F14</f>
        <v>-250</v>
      </c>
    </row>
    <row r="39" spans="1:7" x14ac:dyDescent="0.25">
      <c r="A39" t="s">
        <v>116</v>
      </c>
      <c r="D39" s="36">
        <f>G33-(G28-D14)</f>
        <v>27.750910332271246</v>
      </c>
      <c r="E39" s="36">
        <f>G34-(G29-E14)</f>
        <v>16.622324908399264</v>
      </c>
      <c r="F39" s="36">
        <f>G31-(G30-F14)</f>
        <v>7.2815533980582359</v>
      </c>
    </row>
    <row r="40" spans="1:7" x14ac:dyDescent="0.25">
      <c r="A40" t="s">
        <v>117</v>
      </c>
      <c r="D40" s="36">
        <f>G29-G33</f>
        <v>0</v>
      </c>
      <c r="E40" s="36">
        <f>G30-G34</f>
        <v>0</v>
      </c>
      <c r="F40" s="36">
        <v>0</v>
      </c>
    </row>
    <row r="41" spans="1:7" x14ac:dyDescent="0.25">
      <c r="A41" t="s">
        <v>118</v>
      </c>
      <c r="D41" s="37">
        <f>SUM(D37:D40)</f>
        <v>476.0961216935425</v>
      </c>
      <c r="E41" s="37">
        <f>SUM(E37:E40)</f>
        <v>242.71844660194176</v>
      </c>
      <c r="F41" s="37">
        <f>SUM(F37:F40)</f>
        <v>0</v>
      </c>
    </row>
    <row r="42" spans="1:7" x14ac:dyDescent="0.25">
      <c r="A42" s="23" t="s">
        <v>119</v>
      </c>
      <c r="D42" t="str">
        <f>IF(ABS(D41-G29)&lt;0.01,"✅","❌")</f>
        <v>✅</v>
      </c>
      <c r="E42" t="str">
        <f>IF(ABS(E41-G30)&lt;0.01,"✅","❌")</f>
        <v>✅</v>
      </c>
      <c r="F42" t="str">
        <f>IF(ABS(F41-G31)&lt;0.01,"✅","❌")</f>
        <v>✅</v>
      </c>
    </row>
    <row r="44" spans="1:7" x14ac:dyDescent="0.25">
      <c r="A44" s="4" t="s">
        <v>120</v>
      </c>
      <c r="B44" s="5"/>
      <c r="C44" s="5"/>
      <c r="D44" s="5"/>
      <c r="E44" s="5"/>
      <c r="F44" s="5"/>
    </row>
    <row r="45" spans="1:7" x14ac:dyDescent="0.25">
      <c r="A45" t="s">
        <v>121</v>
      </c>
      <c r="C45" s="36">
        <f>C15</f>
        <v>90</v>
      </c>
    </row>
    <row r="46" spans="1:7" x14ac:dyDescent="0.25">
      <c r="A46" t="s">
        <v>122</v>
      </c>
      <c r="C46" s="36">
        <f>C45/C8</f>
        <v>30</v>
      </c>
    </row>
    <row r="48" spans="1:7" x14ac:dyDescent="0.25">
      <c r="A48" s="4" t="s">
        <v>123</v>
      </c>
      <c r="B48" s="5"/>
      <c r="C48" s="5"/>
      <c r="D48" s="5"/>
    </row>
    <row r="49" spans="1:6" x14ac:dyDescent="0.25">
      <c r="A49" t="s">
        <v>124</v>
      </c>
      <c r="C49" s="36">
        <f>G28</f>
        <v>698.34521136127125</v>
      </c>
    </row>
    <row r="50" spans="1:6" x14ac:dyDescent="0.25">
      <c r="A50" t="s">
        <v>12</v>
      </c>
      <c r="C50" s="36">
        <f>C45</f>
        <v>90</v>
      </c>
    </row>
    <row r="51" spans="1:6" x14ac:dyDescent="0.25">
      <c r="A51" t="s">
        <v>81</v>
      </c>
      <c r="C51" s="37">
        <f>C49+C50</f>
        <v>788.34521136127125</v>
      </c>
    </row>
    <row r="52" spans="1:6" x14ac:dyDescent="0.25">
      <c r="A52" t="s">
        <v>13</v>
      </c>
      <c r="C52" s="37">
        <f>C9-C51</f>
        <v>211.65478863872875</v>
      </c>
    </row>
    <row r="53" spans="1:6" x14ac:dyDescent="0.25">
      <c r="A53" t="s">
        <v>14</v>
      </c>
      <c r="C53" s="37">
        <f>C51+C52</f>
        <v>1000</v>
      </c>
    </row>
    <row r="55" spans="1:6" x14ac:dyDescent="0.25">
      <c r="A55" s="4" t="s">
        <v>125</v>
      </c>
      <c r="B55" s="5"/>
      <c r="C55" s="5"/>
      <c r="D55" s="61">
        <v>46022</v>
      </c>
      <c r="E55" s="61">
        <v>46387</v>
      </c>
      <c r="F55" s="61">
        <v>46752</v>
      </c>
    </row>
    <row r="56" spans="1:6" x14ac:dyDescent="0.25">
      <c r="A56" t="s">
        <v>126</v>
      </c>
      <c r="D56" s="36">
        <f>C52</f>
        <v>211.65478863872875</v>
      </c>
      <c r="E56" s="36">
        <f>D60</f>
        <v>145.33628819859376</v>
      </c>
      <c r="F56" s="36">
        <f>E60</f>
        <v>74.848188422275783</v>
      </c>
    </row>
    <row r="57" spans="1:6" x14ac:dyDescent="0.25">
      <c r="A57" t="s">
        <v>127</v>
      </c>
      <c r="D57" s="36">
        <f>D56*D18</f>
        <v>6.3496436591618624</v>
      </c>
      <c r="E57" s="36">
        <f>E56*D18</f>
        <v>4.3600886459578128</v>
      </c>
      <c r="F57" s="36">
        <f>F56*D18</f>
        <v>2.2454456526682733</v>
      </c>
    </row>
    <row r="58" spans="1:6" x14ac:dyDescent="0.25">
      <c r="A58" s="9" t="s">
        <v>135</v>
      </c>
      <c r="D58" s="43">
        <v>0</v>
      </c>
      <c r="E58" s="43">
        <v>0</v>
      </c>
      <c r="F58" s="43">
        <v>0</v>
      </c>
    </row>
    <row r="59" spans="1:6" x14ac:dyDescent="0.25">
      <c r="A59" t="s">
        <v>128</v>
      </c>
      <c r="D59" s="36">
        <f>-(D56+D57+D58)/C8</f>
        <v>-72.668144099296867</v>
      </c>
      <c r="E59" s="36">
        <f>-(E56+E57+E58)/2</f>
        <v>-74.848188422275783</v>
      </c>
      <c r="F59" s="36">
        <f>-(F56+F57+F58)/1</f>
        <v>-77.093634074944049</v>
      </c>
    </row>
    <row r="60" spans="1:6" x14ac:dyDescent="0.25">
      <c r="A60" t="s">
        <v>129</v>
      </c>
      <c r="D60" s="37">
        <f>SUM(D56:D59)</f>
        <v>145.33628819859376</v>
      </c>
      <c r="E60" s="37">
        <f>SUM(E56:E59)</f>
        <v>74.848188422275783</v>
      </c>
      <c r="F60" s="37">
        <f>SUM(F56:F59)</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8E6C-581F-431B-AD5E-686214BD6995}">
  <dimension ref="A1:E22"/>
  <sheetViews>
    <sheetView workbookViewId="0">
      <selection activeCell="E24" sqref="E24"/>
    </sheetView>
  </sheetViews>
  <sheetFormatPr defaultRowHeight="15" x14ac:dyDescent="0.25"/>
  <cols>
    <col min="1" max="1" width="57.140625" customWidth="1"/>
    <col min="2" max="5" width="21.85546875" customWidth="1"/>
  </cols>
  <sheetData>
    <row r="1" spans="1:5" ht="18.75" x14ac:dyDescent="0.3">
      <c r="A1" s="1" t="s">
        <v>20</v>
      </c>
    </row>
    <row r="2" spans="1:5" x14ac:dyDescent="0.25">
      <c r="A2" s="2" t="s">
        <v>130</v>
      </c>
    </row>
    <row r="4" spans="1:5" x14ac:dyDescent="0.25">
      <c r="B4" s="61">
        <v>45658</v>
      </c>
      <c r="C4" s="61">
        <v>46022</v>
      </c>
      <c r="D4" s="61">
        <v>46387</v>
      </c>
      <c r="E4" s="61">
        <v>46752</v>
      </c>
    </row>
    <row r="5" spans="1:5" x14ac:dyDescent="0.25">
      <c r="A5" s="3" t="s">
        <v>25</v>
      </c>
    </row>
    <row r="6" spans="1:5" x14ac:dyDescent="0.25">
      <c r="A6" t="s">
        <v>26</v>
      </c>
      <c r="B6" s="36">
        <f>'Assumptions (v2)'!C9</f>
        <v>1000</v>
      </c>
      <c r="C6" s="36">
        <f>B6-'P&amp;L (v2)'!C32</f>
        <v>750</v>
      </c>
      <c r="D6" s="36">
        <f>C6-'P&amp;L (v2)'!D32</f>
        <v>500</v>
      </c>
      <c r="E6" s="36">
        <f>D6-'P&amp;L (v2)'!E32</f>
        <v>250</v>
      </c>
    </row>
    <row r="7" spans="1:5" x14ac:dyDescent="0.25">
      <c r="A7" s="3" t="s">
        <v>27</v>
      </c>
      <c r="B7" s="37">
        <f>B6</f>
        <v>1000</v>
      </c>
      <c r="C7" s="37">
        <f>C6</f>
        <v>750</v>
      </c>
      <c r="D7" s="37">
        <f>D6</f>
        <v>500</v>
      </c>
      <c r="E7" s="37">
        <f>E6</f>
        <v>250</v>
      </c>
    </row>
    <row r="9" spans="1:5" x14ac:dyDescent="0.25">
      <c r="A9" s="3" t="s">
        <v>28</v>
      </c>
    </row>
    <row r="10" spans="1:5" x14ac:dyDescent="0.25">
      <c r="A10" s="3" t="s">
        <v>29</v>
      </c>
    </row>
    <row r="11" spans="1:5" x14ac:dyDescent="0.25">
      <c r="A11" s="3" t="s">
        <v>80</v>
      </c>
      <c r="B11" s="36">
        <f>'Assumptions (v2)'!G28</f>
        <v>698.34521136127125</v>
      </c>
      <c r="C11" s="36">
        <f>'Assumptions (v2)'!G29</f>
        <v>476.0961216935425</v>
      </c>
      <c r="D11" s="36">
        <f>'Assumptions (v2)'!G30</f>
        <v>242.71844660194176</v>
      </c>
      <c r="E11" s="36">
        <f>'Assumptions (v2)'!G31</f>
        <v>0</v>
      </c>
    </row>
    <row r="12" spans="1:5" x14ac:dyDescent="0.25">
      <c r="A12" s="3" t="s">
        <v>30</v>
      </c>
      <c r="B12" s="36">
        <f>'Assumptions (v2)'!C50</f>
        <v>90</v>
      </c>
      <c r="C12" s="36">
        <f>B12-'P&amp;L (v2)'!C8</f>
        <v>60</v>
      </c>
      <c r="D12" s="36">
        <f>C12-'P&amp;L (v2)'!D8</f>
        <v>30</v>
      </c>
      <c r="E12" s="36">
        <f>D12-'P&amp;L (v2)'!E8</f>
        <v>0</v>
      </c>
    </row>
    <row r="13" spans="1:5" x14ac:dyDescent="0.25">
      <c r="A13" s="3" t="s">
        <v>81</v>
      </c>
      <c r="B13" s="37">
        <f>B11+B12</f>
        <v>788.34521136127125</v>
      </c>
      <c r="C13" s="37">
        <f>C11+C12</f>
        <v>536.0961216935425</v>
      </c>
      <c r="D13" s="37">
        <f>D11+D12</f>
        <v>272.71844660194176</v>
      </c>
      <c r="E13" s="37">
        <f>E11+E12</f>
        <v>0</v>
      </c>
    </row>
    <row r="14" spans="1:5" x14ac:dyDescent="0.25">
      <c r="A14" s="3" t="s">
        <v>31</v>
      </c>
      <c r="B14" s="36">
        <f>'Assumptions (v2)'!C52</f>
        <v>211.65478863872875</v>
      </c>
      <c r="C14" s="36">
        <f>'Assumptions (v2)'!D60</f>
        <v>145.33628819859376</v>
      </c>
      <c r="D14" s="36">
        <f>'Assumptions (v2)'!E60</f>
        <v>74.848188422275783</v>
      </c>
      <c r="E14" s="36">
        <f>'Assumptions (v2)'!F60</f>
        <v>0</v>
      </c>
    </row>
    <row r="15" spans="1:5" x14ac:dyDescent="0.25">
      <c r="A15" s="3" t="s">
        <v>32</v>
      </c>
      <c r="B15" s="37">
        <f>B13+B14</f>
        <v>1000</v>
      </c>
      <c r="C15" s="37">
        <f>C13+C14</f>
        <v>681.43240989213632</v>
      </c>
      <c r="D15" s="37">
        <f>D13+D14</f>
        <v>347.56663502421753</v>
      </c>
      <c r="E15" s="37">
        <f>E13+E14</f>
        <v>0</v>
      </c>
    </row>
    <row r="16" spans="1:5" x14ac:dyDescent="0.25">
      <c r="A16" s="3" t="s">
        <v>33</v>
      </c>
      <c r="B16" s="37">
        <f>B15</f>
        <v>1000</v>
      </c>
      <c r="C16" s="37">
        <f>C15</f>
        <v>681.43240989213632</v>
      </c>
      <c r="D16" s="37">
        <f>D15</f>
        <v>347.56663502421753</v>
      </c>
      <c r="E16" s="37">
        <f>E15</f>
        <v>0</v>
      </c>
    </row>
    <row r="18" spans="1:5" x14ac:dyDescent="0.25">
      <c r="A18" s="3" t="s">
        <v>34</v>
      </c>
    </row>
    <row r="19" spans="1:5" x14ac:dyDescent="0.25">
      <c r="A19" s="3" t="s">
        <v>35</v>
      </c>
      <c r="B19" s="36">
        <v>0</v>
      </c>
      <c r="C19" s="36">
        <f>B19+'P&amp;L (v2)'!C27</f>
        <v>68.567590107863737</v>
      </c>
      <c r="D19" s="36">
        <f>C19+'P&amp;L (v2)'!D27</f>
        <v>152.43336497578241</v>
      </c>
      <c r="E19" s="36">
        <f>D19+'P&amp;L (v2)'!E27</f>
        <v>249.99999999999991</v>
      </c>
    </row>
    <row r="20" spans="1:5" x14ac:dyDescent="0.25">
      <c r="A20" s="3" t="s">
        <v>36</v>
      </c>
      <c r="B20" s="37">
        <f>B19</f>
        <v>0</v>
      </c>
      <c r="C20" s="37">
        <f>C19</f>
        <v>68.567590107863737</v>
      </c>
      <c r="D20" s="37">
        <f>D19</f>
        <v>152.43336497578241</v>
      </c>
      <c r="E20" s="37">
        <f>E19</f>
        <v>249.99999999999991</v>
      </c>
    </row>
    <row r="22" spans="1:5" x14ac:dyDescent="0.25">
      <c r="A22" s="15" t="s">
        <v>37</v>
      </c>
      <c r="B22" t="str">
        <f>IF(ABS(B7-B16-B20)&lt;0.01,"✅ Balanced","❌ "&amp;TEXT(B7-B16-B20,"#,##0.00"))</f>
        <v>✅ Balanced</v>
      </c>
      <c r="C22" t="str">
        <f>IF(ABS(C7-C16-C20)&lt;0.01,"✅ Balanced","❌ "&amp;TEXT(C7-C16-C20,"#,##0.00"))</f>
        <v>✅ Balanced</v>
      </c>
      <c r="D22" t="str">
        <f>IF(ABS(D7-D16-D20)&lt;0.01,"✅ Balanced","❌ "&amp;TEXT(D7-D16-D20,"#,##0.00"))</f>
        <v>✅ Balanced</v>
      </c>
      <c r="E22" t="str">
        <f>IF(ABS(E7-E16-E20)&lt;0.01,"✅ Balanced","❌ "&amp;TEXT(E7-E16-E20,"#,##0.00"))</f>
        <v>✅ Balanced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04FCC-27D1-47A6-BCE6-605141C406A0}">
  <dimension ref="A1:E32"/>
  <sheetViews>
    <sheetView workbookViewId="0">
      <selection activeCell="C22" sqref="C22"/>
    </sheetView>
  </sheetViews>
  <sheetFormatPr defaultRowHeight="15" x14ac:dyDescent="0.25"/>
  <cols>
    <col min="1" max="1" width="57.140625" customWidth="1"/>
    <col min="2" max="2" width="2.85546875" customWidth="1"/>
    <col min="3" max="5" width="21.85546875" customWidth="1"/>
  </cols>
  <sheetData>
    <row r="1" spans="1:5" ht="18.75" x14ac:dyDescent="0.3">
      <c r="A1" s="1" t="s">
        <v>38</v>
      </c>
    </row>
    <row r="2" spans="1:5" x14ac:dyDescent="0.25">
      <c r="A2" s="2" t="s">
        <v>130</v>
      </c>
    </row>
    <row r="4" spans="1:5" x14ac:dyDescent="0.25">
      <c r="C4" s="61">
        <v>46022</v>
      </c>
      <c r="D4" s="61">
        <v>46387</v>
      </c>
      <c r="E4" s="61">
        <v>46752</v>
      </c>
    </row>
    <row r="5" spans="1:5" x14ac:dyDescent="0.25">
      <c r="A5" s="3" t="s">
        <v>39</v>
      </c>
    </row>
    <row r="6" spans="1:5" x14ac:dyDescent="0.25">
      <c r="A6" t="s">
        <v>77</v>
      </c>
      <c r="C6" s="36">
        <f>'Assumptions (v2)'!D12</f>
        <v>200</v>
      </c>
      <c r="D6" s="36">
        <f>'Assumptions (v2)'!E12</f>
        <v>200</v>
      </c>
      <c r="E6" s="36">
        <f>'Assumptions (v2)'!F12</f>
        <v>200</v>
      </c>
    </row>
    <row r="7" spans="1:5" x14ac:dyDescent="0.25">
      <c r="A7" t="s">
        <v>78</v>
      </c>
      <c r="C7" s="36">
        <f>'Assumptions (v2)'!D13</f>
        <v>50</v>
      </c>
      <c r="D7" s="36">
        <f>'Assumptions (v2)'!E13</f>
        <v>50</v>
      </c>
      <c r="E7" s="36">
        <f>'Assumptions (v2)'!F13</f>
        <v>50</v>
      </c>
    </row>
    <row r="8" spans="1:5" x14ac:dyDescent="0.25">
      <c r="A8" t="s">
        <v>40</v>
      </c>
      <c r="C8" s="36">
        <f>'Assumptions (v2)'!C46</f>
        <v>30</v>
      </c>
      <c r="D8" s="36">
        <f>'Assumptions (v2)'!C46</f>
        <v>30</v>
      </c>
      <c r="E8" s="36">
        <f>'Assumptions (v2)'!C46</f>
        <v>30</v>
      </c>
    </row>
    <row r="9" spans="1:5" x14ac:dyDescent="0.25">
      <c r="A9" t="s">
        <v>41</v>
      </c>
      <c r="C9" s="36">
        <f>-'Assumptions (v2)'!D59</f>
        <v>72.668144099296867</v>
      </c>
      <c r="D9" s="36">
        <f>-'Assumptions (v2)'!E59</f>
        <v>74.848188422275783</v>
      </c>
      <c r="E9" s="36">
        <f>-'Assumptions (v2)'!F59</f>
        <v>77.093634074944049</v>
      </c>
    </row>
    <row r="11" spans="1:5" x14ac:dyDescent="0.25">
      <c r="A11" s="3" t="s">
        <v>42</v>
      </c>
      <c r="C11" s="37">
        <f>SUM(C6:C9)</f>
        <v>352.66814409929685</v>
      </c>
      <c r="D11" s="37">
        <f>SUM(D6:D9)</f>
        <v>354.84818842227577</v>
      </c>
      <c r="E11" s="37">
        <f>SUM(E6:E9)</f>
        <v>357.09363407494402</v>
      </c>
    </row>
    <row r="13" spans="1:5" x14ac:dyDescent="0.25">
      <c r="A13" s="3" t="s">
        <v>43</v>
      </c>
    </row>
    <row r="14" spans="1:5" x14ac:dyDescent="0.25">
      <c r="A14" t="s">
        <v>44</v>
      </c>
      <c r="C14" s="36">
        <f>'Assumptions (v2)'!D12</f>
        <v>200</v>
      </c>
      <c r="D14" s="36">
        <f>'Assumptions (v2)'!E12</f>
        <v>200</v>
      </c>
      <c r="E14" s="36">
        <f>'Assumptions (v2)'!F12</f>
        <v>200</v>
      </c>
    </row>
    <row r="15" spans="1:5" x14ac:dyDescent="0.25">
      <c r="A15" s="3" t="s">
        <v>45</v>
      </c>
      <c r="C15" s="36">
        <f>'Assumptions (v2)'!D13</f>
        <v>50</v>
      </c>
      <c r="D15" s="36">
        <f>'Assumptions (v2)'!E13</f>
        <v>50</v>
      </c>
      <c r="E15" s="36">
        <f>'Assumptions (v2)'!F13</f>
        <v>50</v>
      </c>
    </row>
    <row r="17" spans="1:5" x14ac:dyDescent="0.25">
      <c r="A17" s="3" t="s">
        <v>46</v>
      </c>
      <c r="C17" s="37">
        <f>-(C14+C15)</f>
        <v>-250</v>
      </c>
      <c r="D17" s="37">
        <f>-(D14+D15)</f>
        <v>-250</v>
      </c>
      <c r="E17" s="37">
        <f>-(E14+E15)</f>
        <v>-250</v>
      </c>
    </row>
    <row r="19" spans="1:5" x14ac:dyDescent="0.25">
      <c r="A19" s="21" t="s">
        <v>47</v>
      </c>
      <c r="B19" s="22"/>
      <c r="C19" s="38">
        <f>C11+C17</f>
        <v>102.66814409929685</v>
      </c>
      <c r="D19" s="38">
        <f>D11+D17</f>
        <v>104.84818842227577</v>
      </c>
      <c r="E19" s="38">
        <f>E11+E17</f>
        <v>107.09363407494402</v>
      </c>
    </row>
    <row r="21" spans="1:5" x14ac:dyDescent="0.25">
      <c r="A21" s="3" t="s">
        <v>131</v>
      </c>
    </row>
    <row r="22" spans="1:5" x14ac:dyDescent="0.25">
      <c r="A22" t="s">
        <v>132</v>
      </c>
      <c r="C22" s="36">
        <f>-'Assumptions (v2)'!D39</f>
        <v>-27.750910332271246</v>
      </c>
      <c r="D22" s="36">
        <f>-'Assumptions (v2)'!E39</f>
        <v>-16.622324908399264</v>
      </c>
      <c r="E22" s="36">
        <f>-'Assumptions (v2)'!F39</f>
        <v>-7.2815533980582359</v>
      </c>
    </row>
    <row r="23" spans="1:5" x14ac:dyDescent="0.25">
      <c r="A23" t="s">
        <v>117</v>
      </c>
      <c r="C23" s="36">
        <f>-'Assumptions (v2)'!D40</f>
        <v>0</v>
      </c>
      <c r="D23" s="36">
        <f>-'Assumptions (v2)'!E40</f>
        <v>0</v>
      </c>
      <c r="E23" s="36">
        <f>-'Assumptions (v2)'!F40</f>
        <v>0</v>
      </c>
    </row>
    <row r="24" spans="1:5" x14ac:dyDescent="0.25">
      <c r="A24" s="46" t="s">
        <v>141</v>
      </c>
      <c r="C24" s="56">
        <f>-'Assumptions (v2)'!D57</f>
        <v>-6.3496436591618624</v>
      </c>
      <c r="D24" s="56">
        <f>-'Assumptions (v2)'!E57</f>
        <v>-4.3600886459578128</v>
      </c>
      <c r="E24" s="56">
        <f>-'Assumptions (v2)'!F57</f>
        <v>-2.2454456526682733</v>
      </c>
    </row>
    <row r="25" spans="1:5" x14ac:dyDescent="0.25">
      <c r="A25" s="3" t="s">
        <v>133</v>
      </c>
      <c r="C25" s="37">
        <f>SUM(C22:C24)</f>
        <v>-34.10055399143311</v>
      </c>
      <c r="D25" s="37">
        <f>SUM(D22:D24)</f>
        <v>-20.982413554357077</v>
      </c>
      <c r="E25" s="37">
        <f>SUM(E22:E24)</f>
        <v>-9.5269990507265092</v>
      </c>
    </row>
    <row r="27" spans="1:5" x14ac:dyDescent="0.25">
      <c r="A27" s="39" t="s">
        <v>134</v>
      </c>
      <c r="B27" s="40"/>
      <c r="C27" s="41">
        <f>C19+C25</f>
        <v>68.567590107863737</v>
      </c>
      <c r="D27" s="41">
        <f>D19+D25</f>
        <v>83.865774867918688</v>
      </c>
      <c r="E27" s="41">
        <f>E19+E25</f>
        <v>97.566635024217504</v>
      </c>
    </row>
    <row r="29" spans="1:5" x14ac:dyDescent="0.25">
      <c r="A29" s="3" t="s">
        <v>49</v>
      </c>
      <c r="C29" s="37">
        <f>C27</f>
        <v>68.567590107863737</v>
      </c>
      <c r="D29" s="37">
        <f>C29+D27</f>
        <v>152.43336497578241</v>
      </c>
      <c r="E29" s="37">
        <f>D29+E27</f>
        <v>249.99999999999991</v>
      </c>
    </row>
    <row r="31" spans="1:5" x14ac:dyDescent="0.25">
      <c r="A31" s="18" t="s">
        <v>52</v>
      </c>
    </row>
    <row r="32" spans="1:5" x14ac:dyDescent="0.25">
      <c r="A32" t="s">
        <v>53</v>
      </c>
      <c r="C32" s="42">
        <f>'Assumptions (v2)'!D14</f>
        <v>250</v>
      </c>
      <c r="D32" s="42">
        <f>'Assumptions (v2)'!E14</f>
        <v>250</v>
      </c>
      <c r="E32" s="42">
        <f>'Assumptions (v2)'!F14</f>
        <v>250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E9AD-4FA1-46C0-A4BC-2703438E38D7}">
  <dimension ref="A1:E38"/>
  <sheetViews>
    <sheetView workbookViewId="0">
      <selection activeCell="P31" sqref="P31"/>
    </sheetView>
  </sheetViews>
  <sheetFormatPr defaultRowHeight="15" x14ac:dyDescent="0.25"/>
  <cols>
    <col min="1" max="1" width="53.28515625" customWidth="1"/>
    <col min="2" max="2" width="2.85546875" customWidth="1"/>
    <col min="3" max="5" width="17.140625" customWidth="1"/>
  </cols>
  <sheetData>
    <row r="1" spans="1:5" ht="18.75" x14ac:dyDescent="0.3">
      <c r="A1" s="44" t="s">
        <v>54</v>
      </c>
    </row>
    <row r="2" spans="1:5" x14ac:dyDescent="0.25">
      <c r="A2" s="45" t="s">
        <v>55</v>
      </c>
    </row>
    <row r="4" spans="1:5" x14ac:dyDescent="0.25">
      <c r="C4" s="62">
        <v>46022</v>
      </c>
      <c r="D4" s="62">
        <v>46387</v>
      </c>
      <c r="E4" s="62">
        <v>46752</v>
      </c>
    </row>
    <row r="6" spans="1:5" x14ac:dyDescent="0.25">
      <c r="A6" s="47" t="s">
        <v>56</v>
      </c>
      <c r="C6" s="52">
        <f>'Balance Sheet (v2)'!B6</f>
        <v>1000</v>
      </c>
      <c r="D6" s="52">
        <f>'Balance Sheet (v2)'!C6</f>
        <v>750</v>
      </c>
      <c r="E6" s="52">
        <f>'Balance Sheet (v2)'!D6</f>
        <v>500</v>
      </c>
    </row>
    <row r="8" spans="1:5" x14ac:dyDescent="0.25">
      <c r="A8" s="47" t="s">
        <v>57</v>
      </c>
    </row>
    <row r="9" spans="1:5" x14ac:dyDescent="0.25">
      <c r="A9" s="46" t="s">
        <v>58</v>
      </c>
      <c r="C9" s="53">
        <f>-'Assumptions (v2)'!D12</f>
        <v>-200</v>
      </c>
      <c r="D9" s="53">
        <f>-'Assumptions (v2)'!E12</f>
        <v>-200</v>
      </c>
      <c r="E9" s="53">
        <f>-'Assumptions (v2)'!F12</f>
        <v>-200</v>
      </c>
    </row>
    <row r="10" spans="1:5" x14ac:dyDescent="0.25">
      <c r="A10" s="47" t="s">
        <v>59</v>
      </c>
      <c r="C10" s="53">
        <f>-'Assumptions (v2)'!D13</f>
        <v>-50</v>
      </c>
      <c r="D10" s="53">
        <f>-'Assumptions (v2)'!E13</f>
        <v>-50</v>
      </c>
      <c r="E10" s="53">
        <f>-'Assumptions (v2)'!F13</f>
        <v>-50</v>
      </c>
    </row>
    <row r="11" spans="1:5" ht="15.75" thickBot="1" x14ac:dyDescent="0.3">
      <c r="A11" s="47" t="s">
        <v>60</v>
      </c>
      <c r="C11" s="57">
        <f>SUM(C9:C10)</f>
        <v>-250</v>
      </c>
      <c r="D11" s="57">
        <f>SUM(D9:D10)</f>
        <v>-250</v>
      </c>
      <c r="E11" s="57">
        <f>SUM(E9:E10)</f>
        <v>-250</v>
      </c>
    </row>
    <row r="12" spans="1:5" ht="15.75" thickTop="1" x14ac:dyDescent="0.25"/>
    <row r="13" spans="1:5" ht="15.75" thickBot="1" x14ac:dyDescent="0.3">
      <c r="A13" s="47" t="s">
        <v>61</v>
      </c>
      <c r="C13" s="58">
        <f>C6+C11</f>
        <v>750</v>
      </c>
      <c r="D13" s="58">
        <f>D6+D11</f>
        <v>500</v>
      </c>
      <c r="E13" s="58">
        <f>E6+E11</f>
        <v>250</v>
      </c>
    </row>
    <row r="14" spans="1:5" ht="15.75" thickTop="1" x14ac:dyDescent="0.25"/>
    <row r="15" spans="1:5" x14ac:dyDescent="0.25">
      <c r="A15" s="50" t="s">
        <v>62</v>
      </c>
      <c r="C15" s="47" t="str">
        <f>IF(ABS(C13-'Balance Sheet (v2)'!C6)&lt;0.01,"✅ Ties","❌ "&amp;TEXT(C13-'Balance Sheet (v2)'!C6,"#,##0.00"))</f>
        <v>✅ Ties</v>
      </c>
      <c r="D15" s="47" t="str">
        <f>IF(ABS(D13-'Balance Sheet (v2)'!D6)&lt;0.01,"✅ Ties","❌ "&amp;TEXT(D13-'Balance Sheet (v2)'!D6,"#,##0.00"))</f>
        <v>✅ Ties</v>
      </c>
      <c r="E15" s="47" t="str">
        <f>IF(ABS(E13-'Balance Sheet (v2)'!E6)&lt;0.01,"✅ Ties","❌ "&amp;TEXT(E13-'Balance Sheet (v2)'!E6,"#,##0.00"))</f>
        <v>✅ Ties</v>
      </c>
    </row>
    <row r="18" spans="1:5" ht="15.75" x14ac:dyDescent="0.25">
      <c r="A18" s="51" t="s">
        <v>63</v>
      </c>
    </row>
    <row r="19" spans="1:5" x14ac:dyDescent="0.25">
      <c r="A19" s="45" t="s">
        <v>64</v>
      </c>
    </row>
    <row r="20" spans="1:5" x14ac:dyDescent="0.25">
      <c r="C20" s="49" t="s">
        <v>22</v>
      </c>
      <c r="D20" s="49" t="s">
        <v>23</v>
      </c>
      <c r="E20" s="49" t="s">
        <v>24</v>
      </c>
    </row>
    <row r="22" spans="1:5" x14ac:dyDescent="0.25">
      <c r="A22" s="47" t="s">
        <v>65</v>
      </c>
      <c r="C22" s="55">
        <f>'Balance Sheet (v2)'!B15</f>
        <v>1000</v>
      </c>
      <c r="D22" s="55">
        <f>'Balance Sheet (v2)'!C15</f>
        <v>681.43240989213632</v>
      </c>
      <c r="E22" s="55">
        <f>'Balance Sheet (v2)'!D15</f>
        <v>347.56663502421753</v>
      </c>
    </row>
    <row r="24" spans="1:5" x14ac:dyDescent="0.25">
      <c r="A24" s="47" t="s">
        <v>66</v>
      </c>
    </row>
    <row r="25" spans="1:5" x14ac:dyDescent="0.25">
      <c r="A25" s="46" t="s">
        <v>79</v>
      </c>
      <c r="C25" s="56">
        <f>-('P&amp;L (v2)'!C6+'P&amp;L (v2)'!C7)</f>
        <v>-250</v>
      </c>
      <c r="D25" s="56">
        <f>-('P&amp;L (v2)'!D6+'P&amp;L (v2)'!D7)</f>
        <v>-250</v>
      </c>
      <c r="E25" s="56">
        <f>-('P&amp;L (v2)'!E6+'P&amp;L (v2)'!E7)</f>
        <v>-250</v>
      </c>
    </row>
    <row r="26" spans="1:5" x14ac:dyDescent="0.25">
      <c r="A26" s="47" t="s">
        <v>40</v>
      </c>
      <c r="C26" s="56">
        <f>-'P&amp;L (v2)'!C8</f>
        <v>-30</v>
      </c>
      <c r="D26" s="56">
        <f>-'P&amp;L (v2)'!D8</f>
        <v>-30</v>
      </c>
      <c r="E26" s="56">
        <f>-'P&amp;L (v2)'!E8</f>
        <v>-30</v>
      </c>
    </row>
    <row r="27" spans="1:5" x14ac:dyDescent="0.25">
      <c r="A27" s="46" t="s">
        <v>67</v>
      </c>
      <c r="C27" s="56">
        <f>-'P&amp;L (v2)'!C9</f>
        <v>-72.668144099296867</v>
      </c>
      <c r="D27" s="56">
        <f>-'P&amp;L (v2)'!D9</f>
        <v>-74.848188422275783</v>
      </c>
      <c r="E27" s="56">
        <f>-'P&amp;L (v2)'!E9</f>
        <v>-77.093634074944049</v>
      </c>
    </row>
    <row r="28" spans="1:5" ht="15.75" thickBot="1" x14ac:dyDescent="0.3">
      <c r="A28" s="47" t="s">
        <v>136</v>
      </c>
      <c r="C28" s="60">
        <f>SUM(C25:C27)</f>
        <v>-352.66814409929685</v>
      </c>
      <c r="D28" s="60">
        <f>SUM(D25:D27)</f>
        <v>-354.84818842227577</v>
      </c>
      <c r="E28" s="60">
        <f>SUM(E25:E27)</f>
        <v>-357.09363407494402</v>
      </c>
    </row>
    <row r="29" spans="1:5" ht="15.75" thickTop="1" x14ac:dyDescent="0.25"/>
    <row r="30" spans="1:5" x14ac:dyDescent="0.25">
      <c r="A30" s="47" t="s">
        <v>137</v>
      </c>
    </row>
    <row r="31" spans="1:5" x14ac:dyDescent="0.25">
      <c r="A31" s="46" t="s">
        <v>138</v>
      </c>
      <c r="C31" s="56">
        <f>'Assumptions (v2)'!D39</f>
        <v>27.750910332271246</v>
      </c>
      <c r="D31" s="56">
        <f>'Assumptions (v2)'!E39</f>
        <v>16.622324908399264</v>
      </c>
      <c r="E31" s="56">
        <f>'Assumptions (v2)'!F39</f>
        <v>7.2815533980582359</v>
      </c>
    </row>
    <row r="32" spans="1:5" x14ac:dyDescent="0.25">
      <c r="A32" s="47" t="s">
        <v>117</v>
      </c>
      <c r="C32" s="56">
        <f>'Assumptions (v2)'!D40</f>
        <v>0</v>
      </c>
      <c r="D32" s="56">
        <f>'Assumptions (v2)'!E40</f>
        <v>0</v>
      </c>
      <c r="E32" s="56">
        <f>'Assumptions (v2)'!F40</f>
        <v>0</v>
      </c>
    </row>
    <row r="33" spans="1:5" x14ac:dyDescent="0.25">
      <c r="A33" s="46" t="s">
        <v>139</v>
      </c>
      <c r="C33" s="56">
        <f>'Assumptions (v2)'!D57</f>
        <v>6.3496436591618624</v>
      </c>
      <c r="D33" s="56">
        <f>'Assumptions (v2)'!E57</f>
        <v>4.3600886459578128</v>
      </c>
      <c r="E33" s="56">
        <f>'Assumptions (v2)'!F57</f>
        <v>2.2454456526682733</v>
      </c>
    </row>
    <row r="34" spans="1:5" x14ac:dyDescent="0.25">
      <c r="A34" s="47" t="s">
        <v>140</v>
      </c>
      <c r="C34" s="59">
        <f>SUM(C31:C33)</f>
        <v>34.10055399143311</v>
      </c>
      <c r="D34" s="59">
        <f>SUM(D31:D33)</f>
        <v>20.982413554357077</v>
      </c>
      <c r="E34" s="59">
        <f>SUM(E31:E33)</f>
        <v>9.5269990507265092</v>
      </c>
    </row>
    <row r="36" spans="1:5" ht="15.75" thickBot="1" x14ac:dyDescent="0.3">
      <c r="A36" s="47" t="s">
        <v>69</v>
      </c>
      <c r="C36" s="60">
        <f>C22+C28+C34</f>
        <v>681.43240989213632</v>
      </c>
      <c r="D36" s="60">
        <f>D22+D28+D34</f>
        <v>347.56663502421765</v>
      </c>
      <c r="E36" s="60">
        <f>E22+E28+E34</f>
        <v>2.1316282072803006E-14</v>
      </c>
    </row>
    <row r="37" spans="1:5" ht="15.75" thickTop="1" x14ac:dyDescent="0.25"/>
    <row r="38" spans="1:5" x14ac:dyDescent="0.25">
      <c r="A38" s="50" t="s">
        <v>62</v>
      </c>
      <c r="C38" s="47" t="str">
        <f>IF(ABS(C36-'Balance Sheet (v2)'!C15)&lt;0.01,"✅ Ties","❌ "&amp;TEXT(C36-'Balance Sheet (v2)'!C15,"#,##0.00"))</f>
        <v>✅ Ties</v>
      </c>
      <c r="D38" s="47" t="str">
        <f>IF(ABS(D36-'Balance Sheet (v2)'!D15)&lt;0.01,"✅ Ties","❌ "&amp;TEXT(D36-'Balance Sheet (v2)'!D15,"#,##0.00"))</f>
        <v>✅ Ties</v>
      </c>
      <c r="E38" s="47" t="str">
        <f>IF(ABS(E36-'Balance Sheet (v2)'!E15)&lt;0.01,"✅ Ties","❌ "&amp;TEXT(E36-'Balance Sheet (v2)'!E15,"#,##0.00"))</f>
        <v>✅ Ties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C9FE-2F5D-4B6D-8666-EF2A3215BED5}">
  <sheetPr>
    <tabColor rgb="FF0070C0"/>
  </sheetPr>
  <dimension ref="A1"/>
  <sheetViews>
    <sheetView workbookViewId="0">
      <selection activeCell="I47" sqref="I47"/>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3CD46-94BA-476C-A2B5-C90DFD297E42}">
  <dimension ref="A1:G65"/>
  <sheetViews>
    <sheetView topLeftCell="A24" workbookViewId="0">
      <selection activeCell="H19" sqref="H19"/>
    </sheetView>
  </sheetViews>
  <sheetFormatPr defaultRowHeight="15" x14ac:dyDescent="0.25"/>
  <cols>
    <col min="1" max="1" width="61" customWidth="1"/>
    <col min="3" max="7" width="17.140625" customWidth="1"/>
  </cols>
  <sheetData>
    <row r="1" spans="1:6" ht="18.75" x14ac:dyDescent="0.3">
      <c r="A1" s="44" t="s">
        <v>150</v>
      </c>
    </row>
    <row r="2" spans="1:6" x14ac:dyDescent="0.25">
      <c r="A2" s="63" t="s">
        <v>143</v>
      </c>
    </row>
    <row r="3" spans="1:6" x14ac:dyDescent="0.25">
      <c r="A3" s="45" t="s">
        <v>151</v>
      </c>
    </row>
    <row r="4" spans="1:6" x14ac:dyDescent="0.25">
      <c r="A4" s="45" t="s">
        <v>145</v>
      </c>
    </row>
    <row r="5" spans="1:6" x14ac:dyDescent="0.25">
      <c r="A5" s="45" t="s">
        <v>148</v>
      </c>
    </row>
    <row r="7" spans="1:6" x14ac:dyDescent="0.25">
      <c r="A7" s="65" t="s">
        <v>83</v>
      </c>
      <c r="B7" s="5"/>
      <c r="C7" s="5"/>
    </row>
    <row r="8" spans="1:6" x14ac:dyDescent="0.25">
      <c r="A8" s="45" t="s">
        <v>2</v>
      </c>
      <c r="C8" s="66">
        <v>3</v>
      </c>
    </row>
    <row r="9" spans="1:6" x14ac:dyDescent="0.25">
      <c r="A9" s="45" t="s">
        <v>7</v>
      </c>
      <c r="C9" s="67">
        <v>1000</v>
      </c>
    </row>
    <row r="11" spans="1:6" x14ac:dyDescent="0.25">
      <c r="A11" s="48" t="s">
        <v>152</v>
      </c>
      <c r="B11" s="5"/>
      <c r="C11" s="49" t="s">
        <v>5</v>
      </c>
      <c r="D11" s="62">
        <v>46022</v>
      </c>
      <c r="E11" s="62">
        <v>46387</v>
      </c>
      <c r="F11" s="62">
        <v>46752</v>
      </c>
    </row>
    <row r="12" spans="1:6" x14ac:dyDescent="0.25">
      <c r="A12" s="46" t="s">
        <v>8</v>
      </c>
      <c r="C12" s="67">
        <v>600</v>
      </c>
      <c r="D12" s="54">
        <f>C12/C8</f>
        <v>200</v>
      </c>
      <c r="E12" s="54">
        <f>C12/C8</f>
        <v>200</v>
      </c>
      <c r="F12" s="54">
        <f>C12/C8</f>
        <v>200</v>
      </c>
    </row>
    <row r="13" spans="1:6" x14ac:dyDescent="0.25">
      <c r="A13" s="46" t="s">
        <v>9</v>
      </c>
      <c r="C13" s="67">
        <v>150</v>
      </c>
      <c r="D13" s="54">
        <f>C13/C8</f>
        <v>50</v>
      </c>
      <c r="E13" s="54">
        <f>C13/C8</f>
        <v>50</v>
      </c>
      <c r="F13" s="54">
        <f>C13/C8</f>
        <v>50</v>
      </c>
    </row>
    <row r="14" spans="1:6" x14ac:dyDescent="0.25">
      <c r="A14" s="52" t="s">
        <v>153</v>
      </c>
      <c r="C14" s="52">
        <f>C12+C13</f>
        <v>750</v>
      </c>
      <c r="D14" s="52">
        <f>D12+D13</f>
        <v>250</v>
      </c>
      <c r="E14" s="52">
        <f>E12+E13</f>
        <v>250</v>
      </c>
      <c r="F14" s="52">
        <f>F12+F13</f>
        <v>250</v>
      </c>
    </row>
    <row r="15" spans="1:6" x14ac:dyDescent="0.25">
      <c r="A15" s="46" t="s">
        <v>86</v>
      </c>
      <c r="C15" s="67">
        <v>90</v>
      </c>
    </row>
    <row r="17" spans="1:7" x14ac:dyDescent="0.25">
      <c r="A17" s="68" t="s">
        <v>154</v>
      </c>
      <c r="B17" s="40"/>
      <c r="C17" s="40"/>
      <c r="D17" s="69">
        <v>46022</v>
      </c>
      <c r="E17" s="69">
        <v>46387</v>
      </c>
      <c r="F17" s="69">
        <v>46752</v>
      </c>
    </row>
    <row r="18" spans="1:7" x14ac:dyDescent="0.25">
      <c r="A18" s="46" t="s">
        <v>155</v>
      </c>
      <c r="D18" s="67">
        <v>250</v>
      </c>
      <c r="E18" s="67">
        <v>250</v>
      </c>
      <c r="F18" s="67">
        <v>250</v>
      </c>
    </row>
    <row r="19" spans="1:7" x14ac:dyDescent="0.25">
      <c r="A19" s="46" t="s">
        <v>156</v>
      </c>
      <c r="D19" s="54">
        <f>D13</f>
        <v>50</v>
      </c>
      <c r="E19" s="54">
        <f>E13</f>
        <v>50</v>
      </c>
      <c r="F19" s="54">
        <f>F13</f>
        <v>50</v>
      </c>
    </row>
    <row r="20" spans="1:7" x14ac:dyDescent="0.25">
      <c r="A20" s="47" t="s">
        <v>157</v>
      </c>
      <c r="D20" s="52">
        <f>D18+D19</f>
        <v>300</v>
      </c>
      <c r="E20" s="52">
        <f>E18+E19</f>
        <v>300</v>
      </c>
      <c r="F20" s="52">
        <f>F18+F19</f>
        <v>300</v>
      </c>
    </row>
    <row r="22" spans="1:7" x14ac:dyDescent="0.25">
      <c r="A22" s="48" t="s">
        <v>87</v>
      </c>
      <c r="B22" s="5"/>
      <c r="C22" s="5"/>
      <c r="D22" s="49" t="s">
        <v>88</v>
      </c>
      <c r="E22" s="49" t="s">
        <v>89</v>
      </c>
      <c r="F22" s="49" t="s">
        <v>90</v>
      </c>
    </row>
    <row r="23" spans="1:7" x14ac:dyDescent="0.25">
      <c r="A23" s="46" t="s">
        <v>91</v>
      </c>
      <c r="C23" s="70" t="s">
        <v>94</v>
      </c>
      <c r="D23" s="71">
        <v>0.03</v>
      </c>
      <c r="E23" s="71">
        <v>3.5000000000000003E-2</v>
      </c>
      <c r="F23" s="71">
        <v>0.04</v>
      </c>
    </row>
    <row r="24" spans="1:7" x14ac:dyDescent="0.25">
      <c r="A24" s="46" t="s">
        <v>92</v>
      </c>
      <c r="D24" s="71">
        <v>0.03</v>
      </c>
      <c r="E24" s="71">
        <v>3.5000000000000003E-2</v>
      </c>
    </row>
    <row r="25" spans="1:7" x14ac:dyDescent="0.25">
      <c r="A25" s="46" t="s">
        <v>93</v>
      </c>
      <c r="D25" s="71">
        <v>0.03</v>
      </c>
    </row>
    <row r="27" spans="1:7" x14ac:dyDescent="0.25">
      <c r="A27" s="48" t="s">
        <v>95</v>
      </c>
      <c r="B27" s="5"/>
      <c r="C27" s="5"/>
      <c r="D27" s="49" t="s">
        <v>96</v>
      </c>
      <c r="E27" s="49" t="s">
        <v>97</v>
      </c>
      <c r="F27" s="49" t="s">
        <v>98</v>
      </c>
    </row>
    <row r="28" spans="1:7" x14ac:dyDescent="0.25">
      <c r="A28" s="46" t="s">
        <v>99</v>
      </c>
      <c r="D28" s="72">
        <f>1/(1+D23)^1</f>
        <v>0.970873786407767</v>
      </c>
      <c r="E28" s="72">
        <f>1/(1+E23)^2</f>
        <v>0.93351070036640305</v>
      </c>
      <c r="F28" s="72">
        <f>1/(1+F23)^3</f>
        <v>0.88899635867091487</v>
      </c>
    </row>
    <row r="29" spans="1:7" x14ac:dyDescent="0.25">
      <c r="A29" s="46" t="s">
        <v>100</v>
      </c>
      <c r="D29" s="72">
        <f>1/(1+D24)^1</f>
        <v>0.970873786407767</v>
      </c>
      <c r="E29" s="72">
        <f>1/(1+E24)^2</f>
        <v>0.93351070036640305</v>
      </c>
    </row>
    <row r="30" spans="1:7" x14ac:dyDescent="0.25">
      <c r="A30" s="46" t="s">
        <v>101</v>
      </c>
      <c r="D30" s="72">
        <f>1/(1+D25)^1</f>
        <v>0.970873786407767</v>
      </c>
    </row>
    <row r="32" spans="1:7" x14ac:dyDescent="0.25">
      <c r="A32" s="48" t="s">
        <v>102</v>
      </c>
      <c r="B32" s="5"/>
      <c r="C32" s="5"/>
      <c r="D32" s="73" t="s">
        <v>103</v>
      </c>
      <c r="E32" s="73" t="s">
        <v>104</v>
      </c>
      <c r="F32" s="73" t="s">
        <v>105</v>
      </c>
      <c r="G32" s="73" t="s">
        <v>106</v>
      </c>
    </row>
    <row r="33" spans="1:7" x14ac:dyDescent="0.25">
      <c r="A33" s="46" t="s">
        <v>107</v>
      </c>
      <c r="D33" s="56">
        <f>D14*D28</f>
        <v>242.71844660194176</v>
      </c>
      <c r="E33" s="56">
        <f>E14*E28</f>
        <v>233.37767509160076</v>
      </c>
      <c r="F33" s="56">
        <f>F14*F28</f>
        <v>222.24908966772873</v>
      </c>
      <c r="G33" s="55">
        <f>SUM(D33:F33)</f>
        <v>698.34521136127125</v>
      </c>
    </row>
    <row r="34" spans="1:7" x14ac:dyDescent="0.25">
      <c r="A34" s="46" t="s">
        <v>108</v>
      </c>
      <c r="E34" s="56">
        <f>E14*D29</f>
        <v>242.71844660194176</v>
      </c>
      <c r="F34" s="56">
        <f>F14*E29</f>
        <v>233.37767509160076</v>
      </c>
      <c r="G34" s="55">
        <f>SUM(E34:F34)</f>
        <v>476.0961216935425</v>
      </c>
    </row>
    <row r="35" spans="1:7" x14ac:dyDescent="0.25">
      <c r="A35" s="46" t="s">
        <v>109</v>
      </c>
      <c r="F35" s="56">
        <f>F14*D30</f>
        <v>242.71844660194176</v>
      </c>
      <c r="G35" s="55">
        <f>F35</f>
        <v>242.71844660194176</v>
      </c>
    </row>
    <row r="36" spans="1:7" x14ac:dyDescent="0.25">
      <c r="A36" s="46" t="s">
        <v>110</v>
      </c>
      <c r="G36" s="55">
        <v>0</v>
      </c>
    </row>
    <row r="38" spans="1:7" x14ac:dyDescent="0.25">
      <c r="A38" s="46" t="s">
        <v>111</v>
      </c>
      <c r="E38" s="56">
        <f>E14*D28</f>
        <v>242.71844660194176</v>
      </c>
      <c r="F38" s="56">
        <f>F14*E28</f>
        <v>233.37767509160076</v>
      </c>
      <c r="G38" s="55">
        <f>SUM(E38:F38)</f>
        <v>476.0961216935425</v>
      </c>
    </row>
    <row r="39" spans="1:7" x14ac:dyDescent="0.25">
      <c r="A39" s="46" t="s">
        <v>112</v>
      </c>
      <c r="F39" s="56">
        <f>F14*D28</f>
        <v>242.71844660194176</v>
      </c>
      <c r="G39" s="55">
        <f>F39</f>
        <v>242.71844660194176</v>
      </c>
    </row>
    <row r="41" spans="1:7" x14ac:dyDescent="0.25">
      <c r="A41" s="48" t="s">
        <v>113</v>
      </c>
      <c r="B41" s="5"/>
      <c r="C41" s="5"/>
      <c r="D41" s="62">
        <v>46022</v>
      </c>
      <c r="E41" s="62">
        <v>46387</v>
      </c>
      <c r="F41" s="62">
        <v>46752</v>
      </c>
    </row>
    <row r="42" spans="1:7" x14ac:dyDescent="0.25">
      <c r="A42" s="46" t="s">
        <v>114</v>
      </c>
      <c r="D42" s="56">
        <f>G33</f>
        <v>698.34521136127125</v>
      </c>
      <c r="E42" s="56">
        <f>G34</f>
        <v>476.0961216935425</v>
      </c>
      <c r="F42" s="56">
        <f>G35</f>
        <v>242.71844660194176</v>
      </c>
    </row>
    <row r="43" spans="1:7" x14ac:dyDescent="0.25">
      <c r="A43" s="46" t="s">
        <v>115</v>
      </c>
      <c r="D43" s="56">
        <f>-D14</f>
        <v>-250</v>
      </c>
      <c r="E43" s="56">
        <f>-E14</f>
        <v>-250</v>
      </c>
      <c r="F43" s="56">
        <f>-F14</f>
        <v>-250</v>
      </c>
    </row>
    <row r="44" spans="1:7" x14ac:dyDescent="0.25">
      <c r="A44" s="46" t="s">
        <v>116</v>
      </c>
      <c r="D44" s="56">
        <f>G38-(G33-D14)</f>
        <v>27.750910332271246</v>
      </c>
      <c r="E44" s="56">
        <f>G39-(G34-E14)</f>
        <v>16.622324908399264</v>
      </c>
      <c r="F44" s="56">
        <f>G36-(G35-F14)</f>
        <v>7.2815533980582359</v>
      </c>
    </row>
    <row r="45" spans="1:7" x14ac:dyDescent="0.25">
      <c r="A45" s="46" t="s">
        <v>117</v>
      </c>
      <c r="D45" s="56">
        <f>G34-G38</f>
        <v>0</v>
      </c>
      <c r="E45" s="56">
        <f>G35-G39</f>
        <v>0</v>
      </c>
      <c r="F45" s="56">
        <v>0</v>
      </c>
    </row>
    <row r="46" spans="1:7" x14ac:dyDescent="0.25">
      <c r="A46" s="46" t="s">
        <v>118</v>
      </c>
      <c r="D46" s="55">
        <f>SUM(D42:D45)</f>
        <v>476.0961216935425</v>
      </c>
      <c r="E46" s="55">
        <f>SUM(E42:E45)</f>
        <v>242.71844660194176</v>
      </c>
      <c r="F46" s="55">
        <f>SUM(F42:F45)</f>
        <v>0</v>
      </c>
    </row>
    <row r="47" spans="1:7" x14ac:dyDescent="0.25">
      <c r="A47" s="74" t="s">
        <v>119</v>
      </c>
      <c r="D47" s="46" t="str">
        <f>IF(ABS(D46-G34)&lt;0.01,"✅","❌")</f>
        <v>✅</v>
      </c>
      <c r="E47" s="46" t="str">
        <f>IF(ABS(E46-G35)&lt;0.01,"✅","❌")</f>
        <v>✅</v>
      </c>
      <c r="F47" s="46" t="str">
        <f>IF(ABS(F46-G36)&lt;0.01,"✅","❌")</f>
        <v>✅</v>
      </c>
    </row>
    <row r="49" spans="1:6" x14ac:dyDescent="0.25">
      <c r="A49" s="48" t="s">
        <v>120</v>
      </c>
      <c r="B49" s="5"/>
      <c r="C49" s="5"/>
      <c r="D49" s="5"/>
      <c r="E49" s="5"/>
      <c r="F49" s="5"/>
    </row>
    <row r="50" spans="1:6" x14ac:dyDescent="0.25">
      <c r="A50" s="46" t="s">
        <v>121</v>
      </c>
      <c r="C50" s="56">
        <f>C15</f>
        <v>90</v>
      </c>
    </row>
    <row r="51" spans="1:6" x14ac:dyDescent="0.25">
      <c r="A51" s="46" t="s">
        <v>122</v>
      </c>
      <c r="C51" s="56">
        <f>C50/C8</f>
        <v>30</v>
      </c>
    </row>
    <row r="53" spans="1:6" x14ac:dyDescent="0.25">
      <c r="A53" s="48" t="s">
        <v>123</v>
      </c>
      <c r="B53" s="5"/>
      <c r="C53" s="5"/>
      <c r="D53" s="5"/>
    </row>
    <row r="54" spans="1:6" x14ac:dyDescent="0.25">
      <c r="A54" s="46" t="s">
        <v>124</v>
      </c>
      <c r="C54" s="56">
        <f>G33</f>
        <v>698.34521136127125</v>
      </c>
    </row>
    <row r="55" spans="1:6" x14ac:dyDescent="0.25">
      <c r="A55" s="46" t="s">
        <v>12</v>
      </c>
      <c r="C55" s="56">
        <f>C50</f>
        <v>90</v>
      </c>
    </row>
    <row r="56" spans="1:6" x14ac:dyDescent="0.25">
      <c r="A56" s="46" t="s">
        <v>81</v>
      </c>
      <c r="C56" s="55">
        <f>C54+C55</f>
        <v>788.34521136127125</v>
      </c>
    </row>
    <row r="57" spans="1:6" x14ac:dyDescent="0.25">
      <c r="A57" s="46" t="s">
        <v>13</v>
      </c>
      <c r="C57" s="55">
        <f>C9-C56</f>
        <v>211.65478863872875</v>
      </c>
    </row>
    <row r="58" spans="1:6" x14ac:dyDescent="0.25">
      <c r="A58" s="46" t="s">
        <v>14</v>
      </c>
      <c r="C58" s="55">
        <f>C56+C57</f>
        <v>1000</v>
      </c>
    </row>
    <row r="60" spans="1:6" x14ac:dyDescent="0.25">
      <c r="A60" s="48" t="s">
        <v>125</v>
      </c>
      <c r="B60" s="5"/>
      <c r="C60" s="5"/>
      <c r="D60" s="62">
        <v>46022</v>
      </c>
      <c r="E60" s="62">
        <v>46387</v>
      </c>
      <c r="F60" s="62">
        <v>46752</v>
      </c>
    </row>
    <row r="61" spans="1:6" x14ac:dyDescent="0.25">
      <c r="A61" s="46" t="s">
        <v>126</v>
      </c>
      <c r="D61" s="56">
        <f>C57</f>
        <v>211.65478863872875</v>
      </c>
      <c r="E61" s="56">
        <f>D65</f>
        <v>145.33628819859376</v>
      </c>
      <c r="F61" s="56">
        <f>E65</f>
        <v>74.848188422275783</v>
      </c>
    </row>
    <row r="62" spans="1:6" x14ac:dyDescent="0.25">
      <c r="A62" s="46" t="s">
        <v>127</v>
      </c>
      <c r="D62" s="56">
        <f>D61*D23</f>
        <v>6.3496436591618624</v>
      </c>
      <c r="E62" s="56">
        <f>E61*D23</f>
        <v>4.3600886459578128</v>
      </c>
      <c r="F62" s="56">
        <f>F61*D23</f>
        <v>2.2454456526682733</v>
      </c>
    </row>
    <row r="63" spans="1:6" x14ac:dyDescent="0.25">
      <c r="A63" s="75" t="s">
        <v>135</v>
      </c>
      <c r="D63" s="76">
        <v>0</v>
      </c>
      <c r="E63" s="76">
        <v>0</v>
      </c>
      <c r="F63" s="76">
        <v>0</v>
      </c>
    </row>
    <row r="64" spans="1:6" x14ac:dyDescent="0.25">
      <c r="A64" s="46" t="s">
        <v>128</v>
      </c>
      <c r="D64" s="56">
        <f>-(D61+D62+D63)/C8</f>
        <v>-72.668144099296867</v>
      </c>
      <c r="E64" s="56">
        <f>-(E61+E62+E63)/2</f>
        <v>-74.848188422275783</v>
      </c>
      <c r="F64" s="56">
        <f>-(F61+F62+F63)/1</f>
        <v>-77.093634074944049</v>
      </c>
    </row>
    <row r="65" spans="1:6" x14ac:dyDescent="0.25">
      <c r="A65" s="46" t="s">
        <v>129</v>
      </c>
      <c r="D65" s="55">
        <f>SUM(D61:D64)</f>
        <v>145.33628819859376</v>
      </c>
      <c r="E65" s="55">
        <f>SUM(E61:E64)</f>
        <v>74.848188422275783</v>
      </c>
      <c r="F65" s="55">
        <f>SUM(F61:F64)</f>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0F13-2EA7-40E7-92D9-631094324DAC}">
  <dimension ref="A1:E32"/>
  <sheetViews>
    <sheetView workbookViewId="0">
      <selection activeCell="G27" sqref="G27"/>
    </sheetView>
  </sheetViews>
  <sheetFormatPr defaultRowHeight="15" x14ac:dyDescent="0.25"/>
  <cols>
    <col min="1" max="1" width="53.28515625" customWidth="1"/>
    <col min="3" max="5" width="19" customWidth="1"/>
  </cols>
  <sheetData>
    <row r="1" spans="1:5" ht="18.75" x14ac:dyDescent="0.3">
      <c r="A1" s="44" t="s">
        <v>38</v>
      </c>
    </row>
    <row r="2" spans="1:5" x14ac:dyDescent="0.25">
      <c r="A2" s="45" t="s">
        <v>150</v>
      </c>
    </row>
    <row r="4" spans="1:5" x14ac:dyDescent="0.25">
      <c r="C4" s="62">
        <v>46022</v>
      </c>
      <c r="D4" s="62">
        <v>46387</v>
      </c>
      <c r="E4" s="62">
        <v>46752</v>
      </c>
    </row>
    <row r="5" spans="1:5" x14ac:dyDescent="0.25">
      <c r="A5" s="47" t="s">
        <v>39</v>
      </c>
    </row>
    <row r="6" spans="1:5" x14ac:dyDescent="0.25">
      <c r="A6" s="46" t="s">
        <v>77</v>
      </c>
      <c r="C6" s="56">
        <f>'Assumptions (v3a)'!D12</f>
        <v>200</v>
      </c>
      <c r="D6" s="56">
        <f>'Assumptions (v3a)'!E12</f>
        <v>200</v>
      </c>
      <c r="E6" s="56">
        <f>'Assumptions (v3a)'!F12</f>
        <v>200</v>
      </c>
    </row>
    <row r="7" spans="1:5" x14ac:dyDescent="0.25">
      <c r="A7" s="46" t="s">
        <v>78</v>
      </c>
      <c r="C7" s="56">
        <f>'Assumptions (v3a)'!D13</f>
        <v>50</v>
      </c>
      <c r="D7" s="56">
        <f>'Assumptions (v3a)'!E13</f>
        <v>50</v>
      </c>
      <c r="E7" s="56">
        <f>'Assumptions (v3a)'!F13</f>
        <v>50</v>
      </c>
    </row>
    <row r="8" spans="1:5" x14ac:dyDescent="0.25">
      <c r="A8" s="46" t="s">
        <v>40</v>
      </c>
      <c r="C8" s="56">
        <f>'Assumptions (v3a)'!C51</f>
        <v>30</v>
      </c>
      <c r="D8" s="56">
        <f>'Assumptions (v3a)'!C51</f>
        <v>30</v>
      </c>
      <c r="E8" s="56">
        <f>'Assumptions (v3a)'!C51</f>
        <v>30</v>
      </c>
    </row>
    <row r="9" spans="1:5" x14ac:dyDescent="0.25">
      <c r="A9" s="46" t="s">
        <v>41</v>
      </c>
      <c r="C9" s="56">
        <f>-'Assumptions (v3a)'!D64</f>
        <v>72.668144099296867</v>
      </c>
      <c r="D9" s="56">
        <f>-'Assumptions (v3a)'!E64</f>
        <v>74.848188422275783</v>
      </c>
      <c r="E9" s="56">
        <f>-'Assumptions (v3a)'!F64</f>
        <v>77.093634074944049</v>
      </c>
    </row>
    <row r="11" spans="1:5" x14ac:dyDescent="0.25">
      <c r="A11" s="47" t="s">
        <v>42</v>
      </c>
      <c r="C11" s="55">
        <f>SUM(C6:C9)</f>
        <v>352.66814409929685</v>
      </c>
      <c r="D11" s="55">
        <f>SUM(D6:D9)</f>
        <v>354.84818842227577</v>
      </c>
      <c r="E11" s="55">
        <f>SUM(E6:E9)</f>
        <v>357.09363407494402</v>
      </c>
    </row>
    <row r="13" spans="1:5" x14ac:dyDescent="0.25">
      <c r="A13" s="47" t="s">
        <v>43</v>
      </c>
    </row>
    <row r="14" spans="1:5" x14ac:dyDescent="0.25">
      <c r="A14" s="46" t="s">
        <v>44</v>
      </c>
      <c r="C14" s="56">
        <f>'Assumptions (v3a)'!D18</f>
        <v>250</v>
      </c>
      <c r="D14" s="56">
        <f>'Assumptions (v3a)'!E18</f>
        <v>250</v>
      </c>
      <c r="E14" s="56">
        <f>'Assumptions (v3a)'!F18</f>
        <v>250</v>
      </c>
    </row>
    <row r="15" spans="1:5" x14ac:dyDescent="0.25">
      <c r="A15" s="47" t="s">
        <v>45</v>
      </c>
      <c r="C15" s="56">
        <f>'Assumptions (v3a)'!D19</f>
        <v>50</v>
      </c>
      <c r="D15" s="56">
        <f>'Assumptions (v3a)'!E19</f>
        <v>50</v>
      </c>
      <c r="E15" s="56">
        <f>'Assumptions (v3a)'!F19</f>
        <v>50</v>
      </c>
    </row>
    <row r="17" spans="1:5" x14ac:dyDescent="0.25">
      <c r="A17" s="47" t="s">
        <v>46</v>
      </c>
      <c r="C17" s="55">
        <f>-(C14+C15)</f>
        <v>-300</v>
      </c>
      <c r="D17" s="55">
        <f>-(D14+D15)</f>
        <v>-300</v>
      </c>
      <c r="E17" s="55">
        <f>-(E14+E15)</f>
        <v>-300</v>
      </c>
    </row>
    <row r="19" spans="1:5" x14ac:dyDescent="0.25">
      <c r="A19" s="77" t="s">
        <v>47</v>
      </c>
      <c r="B19" s="22"/>
      <c r="C19" s="78">
        <f>C11+C17</f>
        <v>52.668144099296853</v>
      </c>
      <c r="D19" s="78">
        <f>D11+D17</f>
        <v>54.848188422275769</v>
      </c>
      <c r="E19" s="78">
        <f>E11+E17</f>
        <v>57.093634074944021</v>
      </c>
    </row>
    <row r="21" spans="1:5" x14ac:dyDescent="0.25">
      <c r="A21" s="47" t="s">
        <v>131</v>
      </c>
    </row>
    <row r="22" spans="1:5" x14ac:dyDescent="0.25">
      <c r="A22" s="46" t="s">
        <v>132</v>
      </c>
      <c r="C22" s="56">
        <f>-'Assumptions (v3a)'!D44</f>
        <v>-27.750910332271246</v>
      </c>
      <c r="D22" s="56">
        <f>-'Assumptions (v3a)'!E44</f>
        <v>-16.622324908399264</v>
      </c>
      <c r="E22" s="56">
        <f>-'Assumptions (v3a)'!F44</f>
        <v>-7.2815533980582359</v>
      </c>
    </row>
    <row r="23" spans="1:5" x14ac:dyDescent="0.25">
      <c r="A23" s="46" t="s">
        <v>117</v>
      </c>
      <c r="C23" s="56">
        <f>-'Assumptions (v3a)'!D45</f>
        <v>0</v>
      </c>
      <c r="D23" s="56">
        <f>-'Assumptions (v3a)'!E45</f>
        <v>0</v>
      </c>
      <c r="E23" s="56">
        <f>-'Assumptions (v3a)'!F45</f>
        <v>0</v>
      </c>
    </row>
    <row r="24" spans="1:5" x14ac:dyDescent="0.25">
      <c r="A24" s="46" t="s">
        <v>141</v>
      </c>
      <c r="C24" s="56">
        <f>-'Assumptions (v3a)'!D62</f>
        <v>-6.3496436591618624</v>
      </c>
      <c r="D24" s="56">
        <f>-'Assumptions (v3a)'!E62</f>
        <v>-4.3600886459578128</v>
      </c>
      <c r="E24" s="56">
        <f>-'Assumptions (v3a)'!F62</f>
        <v>-2.2454456526682733</v>
      </c>
    </row>
    <row r="25" spans="1:5" x14ac:dyDescent="0.25">
      <c r="A25" s="47" t="s">
        <v>133</v>
      </c>
      <c r="C25" s="55">
        <f>SUM(C22:C24)</f>
        <v>-34.10055399143311</v>
      </c>
      <c r="D25" s="55">
        <f>SUM(D22:D24)</f>
        <v>-20.982413554357077</v>
      </c>
      <c r="E25" s="55">
        <f>SUM(E22:E24)</f>
        <v>-9.5269990507265092</v>
      </c>
    </row>
    <row r="27" spans="1:5" x14ac:dyDescent="0.25">
      <c r="A27" s="68" t="s">
        <v>134</v>
      </c>
      <c r="B27" s="40"/>
      <c r="C27" s="79">
        <f>C19+C25</f>
        <v>18.567590107863744</v>
      </c>
      <c r="D27" s="79">
        <f>D19+D25</f>
        <v>33.865774867918688</v>
      </c>
      <c r="E27" s="79">
        <f>E19+E25</f>
        <v>47.566635024217511</v>
      </c>
    </row>
    <row r="29" spans="1:5" x14ac:dyDescent="0.25">
      <c r="A29" s="47" t="s">
        <v>49</v>
      </c>
      <c r="C29" s="55">
        <f>C27</f>
        <v>18.567590107863744</v>
      </c>
      <c r="D29" s="55">
        <f>C29+D27</f>
        <v>52.433364975782432</v>
      </c>
      <c r="E29" s="55">
        <f>D29+E27</f>
        <v>99.999999999999943</v>
      </c>
    </row>
    <row r="31" spans="1:5" x14ac:dyDescent="0.25">
      <c r="A31" s="64" t="s">
        <v>52</v>
      </c>
    </row>
    <row r="32" spans="1:5" x14ac:dyDescent="0.25">
      <c r="A32" s="46" t="s">
        <v>53</v>
      </c>
      <c r="C32" s="80">
        <f>'Assumptions (v3a)'!D20</f>
        <v>300</v>
      </c>
      <c r="D32" s="80">
        <f>'Assumptions (v3a)'!E20</f>
        <v>300</v>
      </c>
      <c r="E32" s="80">
        <f>'Assumptions (v3a)'!F20</f>
        <v>300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45CF-859E-4BD8-A71B-2B1CDA3ECEB4}">
  <dimension ref="A1:E22"/>
  <sheetViews>
    <sheetView workbookViewId="0"/>
  </sheetViews>
  <sheetFormatPr defaultRowHeight="15" x14ac:dyDescent="0.25"/>
  <cols>
    <col min="1" max="1" width="53.28515625" customWidth="1"/>
    <col min="2" max="5" width="19" customWidth="1"/>
  </cols>
  <sheetData>
    <row r="1" spans="1:5" ht="18.75" x14ac:dyDescent="0.3">
      <c r="A1" s="44" t="s">
        <v>20</v>
      </c>
    </row>
    <row r="2" spans="1:5" x14ac:dyDescent="0.25">
      <c r="A2" s="45" t="s">
        <v>150</v>
      </c>
    </row>
    <row r="4" spans="1:5" x14ac:dyDescent="0.25">
      <c r="B4" s="62">
        <v>45658</v>
      </c>
      <c r="C4" s="62">
        <v>46022</v>
      </c>
      <c r="D4" s="62">
        <v>46387</v>
      </c>
      <c r="E4" s="62">
        <v>46752</v>
      </c>
    </row>
    <row r="5" spans="1:5" x14ac:dyDescent="0.25">
      <c r="A5" s="47" t="s">
        <v>25</v>
      </c>
    </row>
    <row r="6" spans="1:5" x14ac:dyDescent="0.25">
      <c r="A6" s="46" t="s">
        <v>26</v>
      </c>
      <c r="B6" s="56">
        <f>'Assumptions (v3a)'!C9</f>
        <v>1000</v>
      </c>
      <c r="C6" s="56">
        <f>B6-'P&amp;L (v3a)'!C32</f>
        <v>700</v>
      </c>
      <c r="D6" s="56">
        <f>C6-'P&amp;L (v3a)'!D32</f>
        <v>400</v>
      </c>
      <c r="E6" s="56">
        <f>D6-'P&amp;L (v3a)'!E32</f>
        <v>100</v>
      </c>
    </row>
    <row r="7" spans="1:5" x14ac:dyDescent="0.25">
      <c r="A7" s="47" t="s">
        <v>27</v>
      </c>
      <c r="B7" s="55">
        <f>B6</f>
        <v>1000</v>
      </c>
      <c r="C7" s="55">
        <f>C6</f>
        <v>700</v>
      </c>
      <c r="D7" s="55">
        <f>D6</f>
        <v>400</v>
      </c>
      <c r="E7" s="55">
        <f>E6</f>
        <v>100</v>
      </c>
    </row>
    <row r="9" spans="1:5" x14ac:dyDescent="0.25">
      <c r="A9" s="47" t="s">
        <v>28</v>
      </c>
    </row>
    <row r="10" spans="1:5" x14ac:dyDescent="0.25">
      <c r="A10" s="47" t="s">
        <v>29</v>
      </c>
    </row>
    <row r="11" spans="1:5" x14ac:dyDescent="0.25">
      <c r="A11" s="47" t="s">
        <v>80</v>
      </c>
      <c r="B11" s="56">
        <f>'Assumptions (v3a)'!G33</f>
        <v>698.34521136127125</v>
      </c>
      <c r="C11" s="56">
        <f>'Assumptions (v3a)'!G34</f>
        <v>476.0961216935425</v>
      </c>
      <c r="D11" s="56">
        <f>'Assumptions (v3a)'!G35</f>
        <v>242.71844660194176</v>
      </c>
      <c r="E11" s="56">
        <f>'Assumptions (v3a)'!G36</f>
        <v>0</v>
      </c>
    </row>
    <row r="12" spans="1:5" x14ac:dyDescent="0.25">
      <c r="A12" s="47" t="s">
        <v>30</v>
      </c>
      <c r="B12" s="56">
        <f>'Assumptions (v3a)'!C55</f>
        <v>90</v>
      </c>
      <c r="C12" s="56">
        <f>B12-'P&amp;L (v3a)'!C8</f>
        <v>60</v>
      </c>
      <c r="D12" s="56">
        <f>C12-'P&amp;L (v3a)'!D8</f>
        <v>30</v>
      </c>
      <c r="E12" s="56">
        <f>D12-'P&amp;L (v3a)'!E8</f>
        <v>0</v>
      </c>
    </row>
    <row r="13" spans="1:5" x14ac:dyDescent="0.25">
      <c r="A13" s="47" t="s">
        <v>81</v>
      </c>
      <c r="B13" s="55">
        <f>B11+B12</f>
        <v>788.34521136127125</v>
      </c>
      <c r="C13" s="55">
        <f>C11+C12</f>
        <v>536.0961216935425</v>
      </c>
      <c r="D13" s="55">
        <f>D11+D12</f>
        <v>272.71844660194176</v>
      </c>
      <c r="E13" s="55">
        <f>E11+E12</f>
        <v>0</v>
      </c>
    </row>
    <row r="14" spans="1:5" x14ac:dyDescent="0.25">
      <c r="A14" s="47" t="s">
        <v>31</v>
      </c>
      <c r="B14" s="56">
        <f>'Assumptions (v3a)'!C57</f>
        <v>211.65478863872875</v>
      </c>
      <c r="C14" s="56">
        <f>'Assumptions (v3a)'!D65</f>
        <v>145.33628819859376</v>
      </c>
      <c r="D14" s="56">
        <f>'Assumptions (v3a)'!E65</f>
        <v>74.848188422275783</v>
      </c>
      <c r="E14" s="56">
        <f>'Assumptions (v3a)'!F65</f>
        <v>0</v>
      </c>
    </row>
    <row r="15" spans="1:5" x14ac:dyDescent="0.25">
      <c r="A15" s="47" t="s">
        <v>32</v>
      </c>
      <c r="B15" s="55">
        <f>B13+B14</f>
        <v>1000</v>
      </c>
      <c r="C15" s="55">
        <f>C13+C14</f>
        <v>681.43240989213632</v>
      </c>
      <c r="D15" s="55">
        <f>D13+D14</f>
        <v>347.56663502421753</v>
      </c>
      <c r="E15" s="55">
        <f>E13+E14</f>
        <v>0</v>
      </c>
    </row>
    <row r="16" spans="1:5" x14ac:dyDescent="0.25">
      <c r="A16" s="47" t="s">
        <v>33</v>
      </c>
      <c r="B16" s="55">
        <f>B15</f>
        <v>1000</v>
      </c>
      <c r="C16" s="55">
        <f>C15</f>
        <v>681.43240989213632</v>
      </c>
      <c r="D16" s="55">
        <f>D15</f>
        <v>347.56663502421753</v>
      </c>
      <c r="E16" s="55">
        <f>E15</f>
        <v>0</v>
      </c>
    </row>
    <row r="18" spans="1:5" x14ac:dyDescent="0.25">
      <c r="A18" s="47" t="s">
        <v>34</v>
      </c>
    </row>
    <row r="19" spans="1:5" x14ac:dyDescent="0.25">
      <c r="A19" s="47" t="s">
        <v>35</v>
      </c>
      <c r="B19" s="56">
        <v>0</v>
      </c>
      <c r="C19" s="56">
        <f>B19+'P&amp;L (v3a)'!C27</f>
        <v>18.567590107863744</v>
      </c>
      <c r="D19" s="56">
        <f>C19+'P&amp;L (v3a)'!D27</f>
        <v>52.433364975782432</v>
      </c>
      <c r="E19" s="56">
        <f>D19+'P&amp;L (v3a)'!E27</f>
        <v>99.999999999999943</v>
      </c>
    </row>
    <row r="20" spans="1:5" x14ac:dyDescent="0.25">
      <c r="A20" s="47" t="s">
        <v>36</v>
      </c>
      <c r="B20" s="55">
        <f>B19</f>
        <v>0</v>
      </c>
      <c r="C20" s="55">
        <f>C19</f>
        <v>18.567590107863744</v>
      </c>
      <c r="D20" s="55">
        <f>D19</f>
        <v>52.433364975782432</v>
      </c>
      <c r="E20" s="55">
        <f>E19</f>
        <v>99.999999999999943</v>
      </c>
    </row>
    <row r="22" spans="1:5" x14ac:dyDescent="0.25">
      <c r="A22" s="50" t="s">
        <v>37</v>
      </c>
      <c r="B22" s="46" t="str">
        <f>IF(ABS(B7-B16-B20)&lt;0.01,"✅ Balanced","❌ "&amp;TEXT(B7-B16-B20,"#,##0.00"))</f>
        <v>✅ Balanced</v>
      </c>
      <c r="C22" s="46" t="str">
        <f>IF(ABS(C7-C16-C20)&lt;0.01,"✅ Balanced","❌ "&amp;TEXT(C7-C16-C20,"#,##0.00"))</f>
        <v>✅ Balanced</v>
      </c>
      <c r="D22" s="46" t="str">
        <f>IF(ABS(D7-D16-D20)&lt;0.01,"✅ Balanced","❌ "&amp;TEXT(D7-D16-D20,"#,##0.00"))</f>
        <v>✅ Balanced</v>
      </c>
      <c r="E22" s="46" t="str">
        <f>IF(ABS(E7-E16-E20)&lt;0.01,"✅ Balanced","❌ "&amp;TEXT(E7-E16-E20,"#,##0.00"))</f>
        <v>✅ Balanced</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E148-6282-4ACB-A71A-170BB9FF61C8}">
  <dimension ref="A1:E38"/>
  <sheetViews>
    <sheetView workbookViewId="0"/>
  </sheetViews>
  <sheetFormatPr defaultRowHeight="15" x14ac:dyDescent="0.25"/>
  <cols>
    <col min="1" max="1" width="53.28515625" customWidth="1"/>
    <col min="3" max="5" width="17.140625" customWidth="1"/>
  </cols>
  <sheetData>
    <row r="1" spans="1:5" ht="18.75" x14ac:dyDescent="0.3">
      <c r="A1" s="44" t="s">
        <v>54</v>
      </c>
    </row>
    <row r="2" spans="1:5" x14ac:dyDescent="0.25">
      <c r="A2" s="45" t="s">
        <v>55</v>
      </c>
    </row>
    <row r="4" spans="1:5" x14ac:dyDescent="0.25">
      <c r="C4" s="62">
        <v>46022</v>
      </c>
      <c r="D4" s="62">
        <v>46387</v>
      </c>
      <c r="E4" s="62">
        <v>46752</v>
      </c>
    </row>
    <row r="6" spans="1:5" x14ac:dyDescent="0.25">
      <c r="A6" s="47" t="s">
        <v>56</v>
      </c>
      <c r="C6" s="52">
        <f>'Balance Sheet (v3a)'!B6</f>
        <v>1000</v>
      </c>
      <c r="D6" s="52">
        <f>'Balance Sheet (v3a)'!C6</f>
        <v>700</v>
      </c>
      <c r="E6" s="52">
        <f>'Balance Sheet (v3a)'!D6</f>
        <v>400</v>
      </c>
    </row>
    <row r="8" spans="1:5" x14ac:dyDescent="0.25">
      <c r="A8" s="47" t="s">
        <v>57</v>
      </c>
    </row>
    <row r="9" spans="1:5" x14ac:dyDescent="0.25">
      <c r="A9" s="46" t="s">
        <v>158</v>
      </c>
      <c r="C9" s="53">
        <f>-'Assumptions (v3a)'!D18</f>
        <v>-250</v>
      </c>
      <c r="D9" s="53">
        <f>-'Assumptions (v3a)'!E18</f>
        <v>-250</v>
      </c>
      <c r="E9" s="53">
        <f>-'Assumptions (v3a)'!F18</f>
        <v>-250</v>
      </c>
    </row>
    <row r="10" spans="1:5" x14ac:dyDescent="0.25">
      <c r="A10" s="47" t="s">
        <v>159</v>
      </c>
      <c r="C10" s="53">
        <f>-'Assumptions (v3a)'!D19</f>
        <v>-50</v>
      </c>
      <c r="D10" s="53">
        <f>-'Assumptions (v3a)'!E19</f>
        <v>-50</v>
      </c>
      <c r="E10" s="53">
        <f>-'Assumptions (v3a)'!F19</f>
        <v>-50</v>
      </c>
    </row>
    <row r="11" spans="1:5" ht="15.75" thickBot="1" x14ac:dyDescent="0.3">
      <c r="A11" s="47" t="s">
        <v>60</v>
      </c>
      <c r="C11" s="57">
        <f>SUM(C9:C10)</f>
        <v>-300</v>
      </c>
      <c r="D11" s="57">
        <f>SUM(D9:D10)</f>
        <v>-300</v>
      </c>
      <c r="E11" s="57">
        <f>SUM(E9:E10)</f>
        <v>-300</v>
      </c>
    </row>
    <row r="12" spans="1:5" ht="15.75" thickTop="1" x14ac:dyDescent="0.25"/>
    <row r="13" spans="1:5" ht="15.75" thickBot="1" x14ac:dyDescent="0.3">
      <c r="A13" s="47" t="s">
        <v>61</v>
      </c>
      <c r="C13" s="58">
        <f>C6+C11</f>
        <v>700</v>
      </c>
      <c r="D13" s="58">
        <f>D6+D11</f>
        <v>400</v>
      </c>
      <c r="E13" s="58">
        <f>E6+E11</f>
        <v>100</v>
      </c>
    </row>
    <row r="14" spans="1:5" ht="15.75" thickTop="1" x14ac:dyDescent="0.25"/>
    <row r="15" spans="1:5" x14ac:dyDescent="0.25">
      <c r="A15" s="50" t="s">
        <v>62</v>
      </c>
      <c r="C15" s="47" t="str">
        <f>IF(ABS(C13-'Balance Sheet (v3a)'!C6)&lt;0.01,"✅ Ties","❌ "&amp;TEXT(C13-'Balance Sheet (v3a)'!C6,"#,##0.00"))</f>
        <v>✅ Ties</v>
      </c>
      <c r="D15" s="47" t="str">
        <f>IF(ABS(D13-'Balance Sheet (v3a)'!D6)&lt;0.01,"✅ Ties","❌ "&amp;TEXT(D13-'Balance Sheet (v3a)'!D6,"#,##0.00"))</f>
        <v>✅ Ties</v>
      </c>
      <c r="E15" s="47" t="str">
        <f>IF(ABS(E13-'Balance Sheet (v3a)'!E6)&lt;0.01,"✅ Ties","❌ "&amp;TEXT(E13-'Balance Sheet (v3a)'!E6,"#,##0.00"))</f>
        <v>✅ Ties</v>
      </c>
    </row>
    <row r="18" spans="1:5" ht="15.75" x14ac:dyDescent="0.25">
      <c r="A18" s="51" t="s">
        <v>63</v>
      </c>
    </row>
    <row r="19" spans="1:5" x14ac:dyDescent="0.25">
      <c r="A19" s="45" t="s">
        <v>64</v>
      </c>
    </row>
    <row r="20" spans="1:5" x14ac:dyDescent="0.25">
      <c r="C20" s="49" t="s">
        <v>22</v>
      </c>
      <c r="D20" s="49" t="s">
        <v>23</v>
      </c>
      <c r="E20" s="49" t="s">
        <v>24</v>
      </c>
    </row>
    <row r="22" spans="1:5" x14ac:dyDescent="0.25">
      <c r="A22" s="47" t="s">
        <v>65</v>
      </c>
      <c r="C22" s="55">
        <f>'Balance Sheet (v3a)'!B15</f>
        <v>1000</v>
      </c>
      <c r="D22" s="55">
        <f>'Balance Sheet (v3a)'!C15</f>
        <v>681.43240989213632</v>
      </c>
      <c r="E22" s="55">
        <f>'Balance Sheet (v3a)'!D15</f>
        <v>347.56663502421753</v>
      </c>
    </row>
    <row r="24" spans="1:5" x14ac:dyDescent="0.25">
      <c r="A24" s="47" t="s">
        <v>66</v>
      </c>
    </row>
    <row r="25" spans="1:5" x14ac:dyDescent="0.25">
      <c r="A25" s="46" t="s">
        <v>79</v>
      </c>
      <c r="C25" s="56">
        <f>-('P&amp;L (v3a)'!C6+'P&amp;L (v3a)'!C7)</f>
        <v>-250</v>
      </c>
      <c r="D25" s="56">
        <f>-('P&amp;L (v3a)'!D6+'P&amp;L (v3a)'!D7)</f>
        <v>-250</v>
      </c>
      <c r="E25" s="56">
        <f>-('P&amp;L (v3a)'!E6+'P&amp;L (v3a)'!E7)</f>
        <v>-250</v>
      </c>
    </row>
    <row r="26" spans="1:5" x14ac:dyDescent="0.25">
      <c r="A26" s="47" t="s">
        <v>40</v>
      </c>
      <c r="C26" s="56">
        <f>-'P&amp;L (v3a)'!C8</f>
        <v>-30</v>
      </c>
      <c r="D26" s="56">
        <f>-'P&amp;L (v3a)'!D8</f>
        <v>-30</v>
      </c>
      <c r="E26" s="56">
        <f>-'P&amp;L (v3a)'!E8</f>
        <v>-30</v>
      </c>
    </row>
    <row r="27" spans="1:5" x14ac:dyDescent="0.25">
      <c r="A27" s="46" t="s">
        <v>67</v>
      </c>
      <c r="C27" s="56">
        <f>-'P&amp;L (v3a)'!C9</f>
        <v>-72.668144099296867</v>
      </c>
      <c r="D27" s="56">
        <f>-'P&amp;L (v3a)'!D9</f>
        <v>-74.848188422275783</v>
      </c>
      <c r="E27" s="56">
        <f>-'P&amp;L (v3a)'!E9</f>
        <v>-77.093634074944049</v>
      </c>
    </row>
    <row r="28" spans="1:5" ht="15.75" thickBot="1" x14ac:dyDescent="0.3">
      <c r="A28" s="47" t="s">
        <v>136</v>
      </c>
      <c r="C28" s="60">
        <f>SUM(C25:C27)</f>
        <v>-352.66814409929685</v>
      </c>
      <c r="D28" s="60">
        <f>SUM(D25:D27)</f>
        <v>-354.84818842227577</v>
      </c>
      <c r="E28" s="60">
        <f>SUM(E25:E27)</f>
        <v>-357.09363407494402</v>
      </c>
    </row>
    <row r="29" spans="1:5" ht="15.75" thickTop="1" x14ac:dyDescent="0.25"/>
    <row r="30" spans="1:5" x14ac:dyDescent="0.25">
      <c r="A30" s="47" t="s">
        <v>137</v>
      </c>
    </row>
    <row r="31" spans="1:5" x14ac:dyDescent="0.25">
      <c r="A31" s="46" t="s">
        <v>138</v>
      </c>
      <c r="C31" s="56">
        <f>'Assumptions (v3a)'!D44</f>
        <v>27.750910332271246</v>
      </c>
      <c r="D31" s="56">
        <f>'Assumptions (v3a)'!E44</f>
        <v>16.622324908399264</v>
      </c>
      <c r="E31" s="56">
        <f>'Assumptions (v3a)'!F44</f>
        <v>7.2815533980582359</v>
      </c>
    </row>
    <row r="32" spans="1:5" x14ac:dyDescent="0.25">
      <c r="A32" s="47" t="s">
        <v>117</v>
      </c>
      <c r="C32" s="56">
        <f>'Assumptions (v3a)'!D45</f>
        <v>0</v>
      </c>
      <c r="D32" s="56">
        <f>'Assumptions (v3a)'!E45</f>
        <v>0</v>
      </c>
      <c r="E32" s="56">
        <f>'Assumptions (v3a)'!F45</f>
        <v>0</v>
      </c>
    </row>
    <row r="33" spans="1:5" x14ac:dyDescent="0.25">
      <c r="A33" s="46" t="s">
        <v>139</v>
      </c>
      <c r="C33" s="56">
        <f>'Assumptions (v3a)'!D62</f>
        <v>6.3496436591618624</v>
      </c>
      <c r="D33" s="56">
        <f>'Assumptions (v3a)'!E62</f>
        <v>4.3600886459578128</v>
      </c>
      <c r="E33" s="56">
        <f>'Assumptions (v3a)'!F62</f>
        <v>2.2454456526682733</v>
      </c>
    </row>
    <row r="34" spans="1:5" x14ac:dyDescent="0.25">
      <c r="A34" s="47" t="s">
        <v>140</v>
      </c>
      <c r="C34" s="59">
        <f>SUM(C31:C33)</f>
        <v>34.10055399143311</v>
      </c>
      <c r="D34" s="59">
        <f>SUM(D31:D33)</f>
        <v>20.982413554357077</v>
      </c>
      <c r="E34" s="59">
        <f>SUM(E31:E33)</f>
        <v>9.5269990507265092</v>
      </c>
    </row>
    <row r="36" spans="1:5" ht="15.75" thickBot="1" x14ac:dyDescent="0.3">
      <c r="A36" s="47" t="s">
        <v>69</v>
      </c>
      <c r="C36" s="60">
        <f>C22+C28+C34</f>
        <v>681.43240989213632</v>
      </c>
      <c r="D36" s="60">
        <f>D22+D28+D34</f>
        <v>347.56663502421765</v>
      </c>
      <c r="E36" s="60">
        <f>E22+E28+E34</f>
        <v>2.1316282072803006E-14</v>
      </c>
    </row>
    <row r="37" spans="1:5" ht="15.75" thickTop="1" x14ac:dyDescent="0.25"/>
    <row r="38" spans="1:5" x14ac:dyDescent="0.25">
      <c r="A38" s="50" t="s">
        <v>62</v>
      </c>
      <c r="C38" s="47" t="str">
        <f>IF(ABS(C36-'Balance Sheet (v3a)'!C15)&lt;0.01,"✅ Ties","❌ "&amp;TEXT(C36-'Balance Sheet (v3a)'!C15,"#,##0.00"))</f>
        <v>✅ Ties</v>
      </c>
      <c r="D38" s="47" t="str">
        <f>IF(ABS(D36-'Balance Sheet (v3a)'!D15)&lt;0.01,"✅ Ties","❌ "&amp;TEXT(D36-'Balance Sheet (v3a)'!D15,"#,##0.00"))</f>
        <v>✅ Ties</v>
      </c>
      <c r="E38" s="47" t="str">
        <f>IF(ABS(E36-'Balance Sheet (v3a)'!E15)&lt;0.01,"✅ Ties","❌ "&amp;TEXT(E36-'Balance Sheet (v3a)'!E15,"#,##0.00"))</f>
        <v>✅ Ties</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AFC6-A656-48F1-B26D-4FE5C1935D27}">
  <sheetPr>
    <tabColor rgb="FF0070C0"/>
  </sheetPr>
  <dimension ref="A1"/>
  <sheetViews>
    <sheetView workbookViewId="0">
      <selection activeCell="I47" sqref="I47"/>
    </sheetView>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DC347-737E-474C-A6D0-FC0251EF47B9}">
  <dimension ref="A1:G73"/>
  <sheetViews>
    <sheetView topLeftCell="A30" workbookViewId="0">
      <selection activeCell="H52" sqref="H52"/>
    </sheetView>
  </sheetViews>
  <sheetFormatPr defaultRowHeight="15" x14ac:dyDescent="0.25"/>
  <cols>
    <col min="1" max="1" width="61" customWidth="1"/>
    <col min="3" max="7" width="17.140625" customWidth="1"/>
  </cols>
  <sheetData>
    <row r="1" spans="1:6" ht="18.75" x14ac:dyDescent="0.3">
      <c r="A1" s="44" t="s">
        <v>160</v>
      </c>
    </row>
    <row r="2" spans="1:6" x14ac:dyDescent="0.25">
      <c r="A2" s="63" t="s">
        <v>143</v>
      </c>
    </row>
    <row r="3" spans="1:6" x14ac:dyDescent="0.25">
      <c r="A3" s="45" t="s">
        <v>161</v>
      </c>
    </row>
    <row r="4" spans="1:6" x14ac:dyDescent="0.25">
      <c r="A4" s="45" t="s">
        <v>162</v>
      </c>
    </row>
    <row r="5" spans="1:6" x14ac:dyDescent="0.25">
      <c r="A5" s="45" t="s">
        <v>163</v>
      </c>
    </row>
    <row r="7" spans="1:6" x14ac:dyDescent="0.25">
      <c r="A7" s="65" t="s">
        <v>83</v>
      </c>
      <c r="B7" s="5"/>
      <c r="C7" s="5"/>
    </row>
    <row r="8" spans="1:6" x14ac:dyDescent="0.25">
      <c r="A8" s="45" t="s">
        <v>2</v>
      </c>
      <c r="C8" s="66">
        <v>3</v>
      </c>
    </row>
    <row r="9" spans="1:6" x14ac:dyDescent="0.25">
      <c r="A9" s="45" t="s">
        <v>7</v>
      </c>
      <c r="C9" s="67">
        <v>1000</v>
      </c>
    </row>
    <row r="11" spans="1:6" x14ac:dyDescent="0.25">
      <c r="A11" s="48" t="s">
        <v>164</v>
      </c>
      <c r="B11" s="5"/>
      <c r="C11" s="49" t="s">
        <v>5</v>
      </c>
      <c r="D11" s="62">
        <v>46022</v>
      </c>
      <c r="E11" s="62">
        <v>46387</v>
      </c>
      <c r="F11" s="62">
        <v>46752</v>
      </c>
    </row>
    <row r="12" spans="1:6" x14ac:dyDescent="0.25">
      <c r="A12" s="46" t="s">
        <v>8</v>
      </c>
      <c r="C12" s="67">
        <v>600</v>
      </c>
      <c r="D12" s="54">
        <f>C12/C8</f>
        <v>200</v>
      </c>
      <c r="E12" s="54">
        <f>C12/C8</f>
        <v>200</v>
      </c>
      <c r="F12" s="54">
        <f>C12/C8</f>
        <v>200</v>
      </c>
    </row>
    <row r="13" spans="1:6" x14ac:dyDescent="0.25">
      <c r="A13" s="46" t="s">
        <v>9</v>
      </c>
      <c r="C13" s="67">
        <v>150</v>
      </c>
      <c r="D13" s="54">
        <f>C13/C8</f>
        <v>50</v>
      </c>
      <c r="E13" s="54">
        <f>C13/C8</f>
        <v>50</v>
      </c>
      <c r="F13" s="54">
        <f>C13/C8</f>
        <v>50</v>
      </c>
    </row>
    <row r="14" spans="1:6" x14ac:dyDescent="0.25">
      <c r="A14" s="47" t="s">
        <v>153</v>
      </c>
      <c r="C14" s="52">
        <f>C12+C13</f>
        <v>750</v>
      </c>
      <c r="D14" s="52">
        <f>D12+D13</f>
        <v>250</v>
      </c>
      <c r="E14" s="52">
        <f>E12+E13</f>
        <v>250</v>
      </c>
      <c r="F14" s="52">
        <f>F12+F13</f>
        <v>250</v>
      </c>
    </row>
    <row r="15" spans="1:6" x14ac:dyDescent="0.25">
      <c r="A15" s="46" t="s">
        <v>86</v>
      </c>
      <c r="C15" s="67">
        <v>90</v>
      </c>
    </row>
    <row r="17" spans="1:6" x14ac:dyDescent="0.25">
      <c r="A17" s="68" t="s">
        <v>165</v>
      </c>
      <c r="B17" s="40"/>
      <c r="C17" s="40"/>
      <c r="D17" s="40"/>
      <c r="E17" s="69">
        <v>46387</v>
      </c>
      <c r="F17" s="69">
        <v>46752</v>
      </c>
    </row>
    <row r="18" spans="1:6" x14ac:dyDescent="0.25">
      <c r="A18" s="46" t="s">
        <v>166</v>
      </c>
      <c r="E18" s="67">
        <v>250</v>
      </c>
      <c r="F18" s="67">
        <v>250</v>
      </c>
    </row>
    <row r="19" spans="1:6" x14ac:dyDescent="0.25">
      <c r="A19" s="46" t="s">
        <v>167</v>
      </c>
      <c r="E19" s="54">
        <f>E13</f>
        <v>50</v>
      </c>
      <c r="F19" s="54">
        <f>F13</f>
        <v>50</v>
      </c>
    </row>
    <row r="20" spans="1:6" x14ac:dyDescent="0.25">
      <c r="A20" s="47" t="s">
        <v>168</v>
      </c>
      <c r="E20" s="52">
        <f>E18+E19</f>
        <v>300</v>
      </c>
      <c r="F20" s="52">
        <f>F18+F19</f>
        <v>300</v>
      </c>
    </row>
    <row r="22" spans="1:6" x14ac:dyDescent="0.25">
      <c r="A22" s="81" t="s">
        <v>154</v>
      </c>
      <c r="B22" s="82"/>
      <c r="C22" s="82"/>
      <c r="D22" s="83">
        <v>46022</v>
      </c>
      <c r="E22" s="83">
        <v>46387</v>
      </c>
      <c r="F22" s="83">
        <v>46752</v>
      </c>
    </row>
    <row r="23" spans="1:6" x14ac:dyDescent="0.25">
      <c r="A23" s="46" t="s">
        <v>155</v>
      </c>
      <c r="D23" s="67">
        <v>250</v>
      </c>
      <c r="E23" s="67">
        <v>250</v>
      </c>
      <c r="F23" s="67">
        <v>250</v>
      </c>
    </row>
    <row r="24" spans="1:6" x14ac:dyDescent="0.25">
      <c r="A24" s="46" t="s">
        <v>156</v>
      </c>
      <c r="D24" s="54">
        <f>D13</f>
        <v>50</v>
      </c>
      <c r="E24" s="54">
        <f>E13</f>
        <v>50</v>
      </c>
      <c r="F24" s="54">
        <f>F13</f>
        <v>50</v>
      </c>
    </row>
    <row r="25" spans="1:6" x14ac:dyDescent="0.25">
      <c r="A25" s="47" t="s">
        <v>157</v>
      </c>
      <c r="D25" s="52">
        <f>D23+D24</f>
        <v>300</v>
      </c>
      <c r="E25" s="52">
        <f>E23+E24</f>
        <v>300</v>
      </c>
      <c r="F25" s="52">
        <f>F23+F24</f>
        <v>300</v>
      </c>
    </row>
    <row r="27" spans="1:6" x14ac:dyDescent="0.25">
      <c r="A27" s="48" t="s">
        <v>87</v>
      </c>
      <c r="B27" s="5"/>
      <c r="C27" s="5"/>
      <c r="D27" s="49" t="s">
        <v>88</v>
      </c>
      <c r="E27" s="49" t="s">
        <v>89</v>
      </c>
      <c r="F27" s="49" t="s">
        <v>90</v>
      </c>
    </row>
    <row r="28" spans="1:6" x14ac:dyDescent="0.25">
      <c r="A28" s="46" t="s">
        <v>91</v>
      </c>
      <c r="D28" s="71">
        <v>0.03</v>
      </c>
      <c r="E28" s="71">
        <v>3.5000000000000003E-2</v>
      </c>
      <c r="F28" s="71">
        <v>0.04</v>
      </c>
    </row>
    <row r="29" spans="1:6" x14ac:dyDescent="0.25">
      <c r="A29" s="46" t="s">
        <v>92</v>
      </c>
      <c r="D29" s="71">
        <v>0.03</v>
      </c>
      <c r="E29" s="71">
        <v>3.5000000000000003E-2</v>
      </c>
    </row>
    <row r="30" spans="1:6" x14ac:dyDescent="0.25">
      <c r="A30" s="46" t="s">
        <v>93</v>
      </c>
      <c r="D30" s="71">
        <v>0.03</v>
      </c>
    </row>
    <row r="32" spans="1:6" x14ac:dyDescent="0.25">
      <c r="A32" s="48" t="s">
        <v>95</v>
      </c>
      <c r="B32" s="5"/>
      <c r="C32" s="5"/>
      <c r="D32" s="49" t="s">
        <v>96</v>
      </c>
      <c r="E32" s="49" t="s">
        <v>97</v>
      </c>
      <c r="F32" s="49" t="s">
        <v>98</v>
      </c>
    </row>
    <row r="33" spans="1:7" x14ac:dyDescent="0.25">
      <c r="A33" s="46" t="s">
        <v>99</v>
      </c>
      <c r="D33" s="72">
        <f>1/(1+D28)^1</f>
        <v>0.970873786407767</v>
      </c>
      <c r="E33" s="72">
        <f>1/(1+E28)^2</f>
        <v>0.93351070036640305</v>
      </c>
      <c r="F33" s="72">
        <f>1/(1+F28)^3</f>
        <v>0.88899635867091487</v>
      </c>
    </row>
    <row r="34" spans="1:7" x14ac:dyDescent="0.25">
      <c r="A34" s="46" t="s">
        <v>100</v>
      </c>
      <c r="D34" s="72">
        <f>1/(1+D29)^1</f>
        <v>0.970873786407767</v>
      </c>
      <c r="E34" s="72">
        <f>1/(1+E29)^2</f>
        <v>0.93351070036640305</v>
      </c>
    </row>
    <row r="35" spans="1:7" x14ac:dyDescent="0.25">
      <c r="A35" s="46" t="s">
        <v>101</v>
      </c>
      <c r="D35" s="72">
        <f>1/(1+D30)^1</f>
        <v>0.970873786407767</v>
      </c>
    </row>
    <row r="37" spans="1:7" x14ac:dyDescent="0.25">
      <c r="A37" s="48" t="s">
        <v>102</v>
      </c>
      <c r="B37" s="5"/>
      <c r="C37" s="5"/>
      <c r="D37" s="73" t="s">
        <v>103</v>
      </c>
      <c r="E37" s="73" t="s">
        <v>104</v>
      </c>
      <c r="F37" s="73" t="s">
        <v>105</v>
      </c>
      <c r="G37" s="73" t="s">
        <v>106</v>
      </c>
    </row>
    <row r="38" spans="1:7" x14ac:dyDescent="0.25">
      <c r="A38" s="46" t="s">
        <v>169</v>
      </c>
      <c r="D38" s="56">
        <f>D14*D33</f>
        <v>242.71844660194176</v>
      </c>
      <c r="E38" s="56">
        <f>E14*E33</f>
        <v>233.37767509160076</v>
      </c>
      <c r="F38" s="56">
        <f>F14*F33</f>
        <v>222.24908966772873</v>
      </c>
      <c r="G38" s="55">
        <f>SUM(D38:F38)</f>
        <v>698.34521136127125</v>
      </c>
    </row>
    <row r="39" spans="1:7" x14ac:dyDescent="0.25">
      <c r="A39" s="46" t="s">
        <v>170</v>
      </c>
      <c r="E39" s="56">
        <f>E14*D34</f>
        <v>242.71844660194176</v>
      </c>
      <c r="F39" s="56">
        <f>F14*E34</f>
        <v>233.37767509160076</v>
      </c>
      <c r="G39" s="55">
        <f>SUM(E39:F39)</f>
        <v>476.0961216935425</v>
      </c>
    </row>
    <row r="40" spans="1:7" x14ac:dyDescent="0.25">
      <c r="A40" s="68" t="s">
        <v>171</v>
      </c>
      <c r="E40" s="79">
        <f>E20*D34</f>
        <v>291.26213592233012</v>
      </c>
      <c r="F40" s="79">
        <f>F20*E34</f>
        <v>280.05321010992094</v>
      </c>
      <c r="G40" s="79">
        <f>SUM(E40:F40)</f>
        <v>571.315346032251</v>
      </c>
    </row>
    <row r="41" spans="1:7" x14ac:dyDescent="0.25">
      <c r="A41" s="46" t="s">
        <v>172</v>
      </c>
      <c r="F41" s="56">
        <f>F20*D35</f>
        <v>291.26213592233012</v>
      </c>
      <c r="G41" s="55">
        <f>F41</f>
        <v>291.26213592233012</v>
      </c>
    </row>
    <row r="42" spans="1:7" x14ac:dyDescent="0.25">
      <c r="A42" s="46" t="s">
        <v>173</v>
      </c>
      <c r="G42" s="55">
        <v>0</v>
      </c>
    </row>
    <row r="44" spans="1:7" x14ac:dyDescent="0.25">
      <c r="A44" s="46" t="s">
        <v>174</v>
      </c>
      <c r="E44" s="56">
        <f>E14*D33</f>
        <v>242.71844660194176</v>
      </c>
      <c r="F44" s="56">
        <f>F14*E33</f>
        <v>233.37767509160076</v>
      </c>
      <c r="G44" s="55">
        <f>SUM(E44:F44)</f>
        <v>476.0961216935425</v>
      </c>
    </row>
    <row r="45" spans="1:7" x14ac:dyDescent="0.25">
      <c r="A45" s="46" t="s">
        <v>175</v>
      </c>
      <c r="F45" s="56">
        <f>F20*D33</f>
        <v>291.26213592233012</v>
      </c>
      <c r="G45" s="55">
        <f>F45</f>
        <v>291.26213592233012</v>
      </c>
    </row>
    <row r="47" spans="1:7" x14ac:dyDescent="0.25">
      <c r="A47" s="48" t="s">
        <v>113</v>
      </c>
      <c r="B47" s="5"/>
      <c r="C47" s="5"/>
      <c r="D47" s="62">
        <v>46022</v>
      </c>
      <c r="E47" s="62">
        <v>46387</v>
      </c>
      <c r="F47" s="62">
        <v>46752</v>
      </c>
    </row>
    <row r="48" spans="1:7" x14ac:dyDescent="0.25">
      <c r="A48" s="46" t="s">
        <v>114</v>
      </c>
      <c r="D48" s="56">
        <f>G38</f>
        <v>698.34521136127125</v>
      </c>
      <c r="E48" s="56">
        <f>G40</f>
        <v>571.315346032251</v>
      </c>
      <c r="F48" s="56">
        <f>G41</f>
        <v>291.26213592233012</v>
      </c>
    </row>
    <row r="49" spans="1:6" x14ac:dyDescent="0.25">
      <c r="A49" s="46" t="s">
        <v>176</v>
      </c>
      <c r="D49" s="56">
        <f>-D14</f>
        <v>-250</v>
      </c>
      <c r="E49" s="56">
        <f>-E20</f>
        <v>-300</v>
      </c>
      <c r="F49" s="56">
        <f>-F20</f>
        <v>-300</v>
      </c>
    </row>
    <row r="50" spans="1:6" x14ac:dyDescent="0.25">
      <c r="A50" s="46" t="s">
        <v>116</v>
      </c>
      <c r="D50" s="56">
        <f>G44-(G38-D14)</f>
        <v>27.750910332271246</v>
      </c>
      <c r="E50" s="56">
        <f>G45-(G40-E20)</f>
        <v>19.946789890079117</v>
      </c>
      <c r="F50" s="56">
        <f>G42-(G41-F20)</f>
        <v>8.737864077669883</v>
      </c>
    </row>
    <row r="51" spans="1:6" x14ac:dyDescent="0.25">
      <c r="A51" s="46" t="s">
        <v>117</v>
      </c>
      <c r="D51" s="56">
        <f>G39-G44</f>
        <v>0</v>
      </c>
      <c r="E51" s="56">
        <f>G41-G45</f>
        <v>0</v>
      </c>
      <c r="F51" s="56">
        <v>0</v>
      </c>
    </row>
    <row r="52" spans="1:6" x14ac:dyDescent="0.25">
      <c r="A52" s="68" t="s">
        <v>177</v>
      </c>
      <c r="D52" s="79">
        <f>G40-G39</f>
        <v>95.2192243387085</v>
      </c>
      <c r="E52" s="56">
        <v>0</v>
      </c>
      <c r="F52" s="56">
        <v>0</v>
      </c>
    </row>
    <row r="53" spans="1:6" x14ac:dyDescent="0.25">
      <c r="A53" s="47" t="s">
        <v>118</v>
      </c>
      <c r="D53" s="55">
        <f>SUM(D48:D52)</f>
        <v>571.315346032251</v>
      </c>
      <c r="E53" s="55">
        <f>SUM(E48:E52)</f>
        <v>291.26213592233012</v>
      </c>
      <c r="F53" s="55">
        <f>SUM(F48:F52)</f>
        <v>0</v>
      </c>
    </row>
    <row r="54" spans="1:6" x14ac:dyDescent="0.25">
      <c r="A54" s="74" t="s">
        <v>178</v>
      </c>
      <c r="D54" s="46" t="str">
        <f>IF(ABS(D53-G40)&lt;0.01,"✅","❌")</f>
        <v>✅</v>
      </c>
      <c r="E54" s="46" t="str">
        <f>IF(ABS(E53-G41)&lt;0.01,"✅","❌")</f>
        <v>✅</v>
      </c>
      <c r="F54" s="46" t="str">
        <f>IF(ABS(F53-G42)&lt;0.01,"✅","❌")</f>
        <v>✅</v>
      </c>
    </row>
    <row r="56" spans="1:6" x14ac:dyDescent="0.25">
      <c r="A56" s="48" t="s">
        <v>120</v>
      </c>
      <c r="B56" s="5"/>
      <c r="C56" s="5"/>
      <c r="D56" s="5"/>
      <c r="E56" s="5"/>
      <c r="F56" s="5"/>
    </row>
    <row r="57" spans="1:6" x14ac:dyDescent="0.25">
      <c r="A57" s="46" t="s">
        <v>121</v>
      </c>
      <c r="C57" s="56">
        <f>C15</f>
        <v>90</v>
      </c>
    </row>
    <row r="58" spans="1:6" x14ac:dyDescent="0.25">
      <c r="A58" s="46" t="s">
        <v>17</v>
      </c>
      <c r="C58" s="56">
        <f>C57/C8</f>
        <v>30</v>
      </c>
    </row>
    <row r="60" spans="1:6" x14ac:dyDescent="0.25">
      <c r="A60" s="48" t="s">
        <v>123</v>
      </c>
      <c r="B60" s="5"/>
      <c r="C60" s="5"/>
      <c r="D60" s="5"/>
    </row>
    <row r="61" spans="1:6" x14ac:dyDescent="0.25">
      <c r="A61" s="46" t="s">
        <v>124</v>
      </c>
      <c r="C61" s="56">
        <f>G38</f>
        <v>698.34521136127125</v>
      </c>
    </row>
    <row r="62" spans="1:6" x14ac:dyDescent="0.25">
      <c r="A62" s="46" t="s">
        <v>12</v>
      </c>
      <c r="C62" s="56">
        <f>C57</f>
        <v>90</v>
      </c>
    </row>
    <row r="63" spans="1:6" x14ac:dyDescent="0.25">
      <c r="A63" s="46" t="s">
        <v>81</v>
      </c>
      <c r="C63" s="55">
        <f>C61+C62</f>
        <v>788.34521136127125</v>
      </c>
    </row>
    <row r="64" spans="1:6" x14ac:dyDescent="0.25">
      <c r="A64" s="46" t="s">
        <v>13</v>
      </c>
      <c r="C64" s="55">
        <f>C9-C63</f>
        <v>211.65478863872875</v>
      </c>
    </row>
    <row r="65" spans="1:6" x14ac:dyDescent="0.25">
      <c r="A65" s="46" t="s">
        <v>14</v>
      </c>
      <c r="C65" s="55">
        <f>C63+C64</f>
        <v>1000</v>
      </c>
    </row>
    <row r="67" spans="1:6" x14ac:dyDescent="0.25">
      <c r="A67" s="48" t="s">
        <v>125</v>
      </c>
      <c r="B67" s="5"/>
      <c r="C67" s="5"/>
      <c r="D67" s="62">
        <v>46022</v>
      </c>
      <c r="E67" s="62">
        <v>46387</v>
      </c>
      <c r="F67" s="62">
        <v>46752</v>
      </c>
    </row>
    <row r="68" spans="1:6" x14ac:dyDescent="0.25">
      <c r="A68" s="46" t="s">
        <v>126</v>
      </c>
      <c r="D68" s="56">
        <f>C64</f>
        <v>211.65478863872875</v>
      </c>
      <c r="E68" s="56">
        <f>D73</f>
        <v>81.856805306121402</v>
      </c>
      <c r="F68" s="56">
        <f>E73</f>
        <v>42.156254732652521</v>
      </c>
    </row>
    <row r="69" spans="1:6" x14ac:dyDescent="0.25">
      <c r="A69" s="46" t="s">
        <v>127</v>
      </c>
      <c r="D69" s="56">
        <f>D68*D28</f>
        <v>6.3496436591618624</v>
      </c>
      <c r="E69" s="56">
        <f>E68*D28</f>
        <v>2.4557041591836422</v>
      </c>
      <c r="F69" s="56">
        <f>F68*D28</f>
        <v>1.2646876419795756</v>
      </c>
    </row>
    <row r="70" spans="1:6" x14ac:dyDescent="0.25">
      <c r="A70" s="68" t="s">
        <v>179</v>
      </c>
      <c r="D70" s="79">
        <f>-D52</f>
        <v>-95.2192243387085</v>
      </c>
      <c r="E70" s="56">
        <v>0</v>
      </c>
      <c r="F70" s="56">
        <v>0</v>
      </c>
    </row>
    <row r="71" spans="1:6" x14ac:dyDescent="0.25">
      <c r="A71" s="46" t="s">
        <v>128</v>
      </c>
      <c r="D71" s="56">
        <f>-(D68+D69+D70)/C8</f>
        <v>-40.928402653060708</v>
      </c>
      <c r="E71" s="56">
        <f>-(E68+E69+E70)/2</f>
        <v>-42.156254732652521</v>
      </c>
      <c r="F71" s="56">
        <f>-(F68+F69+F70)/1</f>
        <v>-43.420942374632098</v>
      </c>
    </row>
    <row r="73" spans="1:6" x14ac:dyDescent="0.25">
      <c r="A73" s="47" t="s">
        <v>129</v>
      </c>
      <c r="D73" s="55">
        <f>SUM(D68:D71)</f>
        <v>81.856805306121402</v>
      </c>
      <c r="E73" s="55">
        <f>SUM(E68:E71)</f>
        <v>42.156254732652521</v>
      </c>
      <c r="F73" s="55">
        <f>SUM(F68:F71)</f>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7B9A-B149-4CA5-B9D4-79FE6641C402}">
  <dimension ref="A1:E32"/>
  <sheetViews>
    <sheetView workbookViewId="0">
      <selection activeCell="K16" sqref="K16"/>
    </sheetView>
  </sheetViews>
  <sheetFormatPr defaultRowHeight="15" x14ac:dyDescent="0.25"/>
  <cols>
    <col min="1" max="1" width="53.28515625" customWidth="1"/>
    <col min="3" max="5" width="19" customWidth="1"/>
  </cols>
  <sheetData>
    <row r="1" spans="1:5" ht="18.75" x14ac:dyDescent="0.3">
      <c r="A1" s="44" t="s">
        <v>38</v>
      </c>
    </row>
    <row r="2" spans="1:5" x14ac:dyDescent="0.25">
      <c r="A2" s="45" t="s">
        <v>160</v>
      </c>
    </row>
    <row r="4" spans="1:5" x14ac:dyDescent="0.25">
      <c r="C4" s="62">
        <v>46022</v>
      </c>
      <c r="D4" s="62">
        <v>46387</v>
      </c>
      <c r="E4" s="62">
        <v>46752</v>
      </c>
    </row>
    <row r="5" spans="1:5" x14ac:dyDescent="0.25">
      <c r="A5" s="47" t="s">
        <v>39</v>
      </c>
    </row>
    <row r="6" spans="1:5" x14ac:dyDescent="0.25">
      <c r="A6" s="46" t="s">
        <v>77</v>
      </c>
      <c r="C6" s="56">
        <f>'Assumptions (v3b)'!D12</f>
        <v>200</v>
      </c>
      <c r="D6" s="56">
        <f>'Assumptions (v3b)'!E18</f>
        <v>250</v>
      </c>
      <c r="E6" s="56">
        <f>'Assumptions (v3b)'!F18</f>
        <v>250</v>
      </c>
    </row>
    <row r="7" spans="1:5" x14ac:dyDescent="0.25">
      <c r="A7" s="46" t="s">
        <v>78</v>
      </c>
      <c r="C7" s="56">
        <f>'Assumptions (v3b)'!D13</f>
        <v>50</v>
      </c>
      <c r="D7" s="56">
        <f>'Assumptions (v3b)'!E19</f>
        <v>50</v>
      </c>
      <c r="E7" s="56">
        <f>'Assumptions (v3b)'!F19</f>
        <v>50</v>
      </c>
    </row>
    <row r="8" spans="1:5" x14ac:dyDescent="0.25">
      <c r="A8" s="46" t="s">
        <v>40</v>
      </c>
      <c r="C8" s="56">
        <f>'Assumptions (v3b)'!C58</f>
        <v>30</v>
      </c>
      <c r="D8" s="56">
        <f>'Assumptions (v3b)'!C58</f>
        <v>30</v>
      </c>
      <c r="E8" s="56">
        <f>'Assumptions (v3b)'!C58</f>
        <v>30</v>
      </c>
    </row>
    <row r="9" spans="1:5" x14ac:dyDescent="0.25">
      <c r="A9" s="46" t="s">
        <v>41</v>
      </c>
      <c r="C9" s="56">
        <f>-'Assumptions (v3b)'!D71</f>
        <v>40.928402653060708</v>
      </c>
      <c r="D9" s="56">
        <f>-'Assumptions (v3b)'!E71</f>
        <v>42.156254732652521</v>
      </c>
      <c r="E9" s="56">
        <f>-'Assumptions (v3b)'!F71</f>
        <v>43.420942374632098</v>
      </c>
    </row>
    <row r="11" spans="1:5" x14ac:dyDescent="0.25">
      <c r="A11" s="47" t="s">
        <v>42</v>
      </c>
      <c r="C11" s="55">
        <f>SUM(C6:C9)</f>
        <v>320.92840265306069</v>
      </c>
      <c r="D11" s="55">
        <f>SUM(D6:D9)</f>
        <v>372.15625473265254</v>
      </c>
      <c r="E11" s="55">
        <f>SUM(E6:E9)</f>
        <v>373.42094237463209</v>
      </c>
    </row>
    <row r="13" spans="1:5" x14ac:dyDescent="0.25">
      <c r="A13" s="47" t="s">
        <v>43</v>
      </c>
    </row>
    <row r="14" spans="1:5" x14ac:dyDescent="0.25">
      <c r="A14" s="46" t="s">
        <v>44</v>
      </c>
      <c r="C14" s="56">
        <f>'Assumptions (v3b)'!D23</f>
        <v>250</v>
      </c>
      <c r="D14" s="56">
        <f>'Assumptions (v3b)'!E23</f>
        <v>250</v>
      </c>
      <c r="E14" s="56">
        <f>'Assumptions (v3b)'!F23</f>
        <v>250</v>
      </c>
    </row>
    <row r="15" spans="1:5" x14ac:dyDescent="0.25">
      <c r="A15" s="47" t="s">
        <v>45</v>
      </c>
      <c r="C15" s="56">
        <f>'Assumptions (v3b)'!D24</f>
        <v>50</v>
      </c>
      <c r="D15" s="56">
        <f>'Assumptions (v3b)'!E24</f>
        <v>50</v>
      </c>
      <c r="E15" s="56">
        <f>'Assumptions (v3b)'!F24</f>
        <v>50</v>
      </c>
    </row>
    <row r="17" spans="1:5" x14ac:dyDescent="0.25">
      <c r="A17" s="47" t="s">
        <v>46</v>
      </c>
      <c r="C17" s="55">
        <f>-(C14+C15)</f>
        <v>-300</v>
      </c>
      <c r="D17" s="55">
        <f>-(D14+D15)</f>
        <v>-300</v>
      </c>
      <c r="E17" s="55">
        <f>-(E14+E15)</f>
        <v>-300</v>
      </c>
    </row>
    <row r="19" spans="1:5" x14ac:dyDescent="0.25">
      <c r="A19" s="77" t="s">
        <v>47</v>
      </c>
      <c r="B19" s="22"/>
      <c r="C19" s="78">
        <f>C11+C17</f>
        <v>20.928402653060687</v>
      </c>
      <c r="D19" s="78">
        <f>D11+D17</f>
        <v>72.156254732652542</v>
      </c>
      <c r="E19" s="78">
        <f>E11+E17</f>
        <v>73.420942374632091</v>
      </c>
    </row>
    <row r="21" spans="1:5" x14ac:dyDescent="0.25">
      <c r="A21" s="47" t="s">
        <v>131</v>
      </c>
    </row>
    <row r="22" spans="1:5" x14ac:dyDescent="0.25">
      <c r="A22" s="46" t="s">
        <v>132</v>
      </c>
      <c r="C22" s="56">
        <f>-'Assumptions (v3b)'!D50</f>
        <v>-27.750910332271246</v>
      </c>
      <c r="D22" s="56">
        <f>-'Assumptions (v3b)'!E50</f>
        <v>-19.946789890079117</v>
      </c>
      <c r="E22" s="56">
        <f>-'Assumptions (v3b)'!F50</f>
        <v>-8.737864077669883</v>
      </c>
    </row>
    <row r="23" spans="1:5" x14ac:dyDescent="0.25">
      <c r="A23" s="46" t="s">
        <v>117</v>
      </c>
      <c r="C23" s="56">
        <f>-'Assumptions (v3b)'!D51</f>
        <v>0</v>
      </c>
      <c r="D23" s="56">
        <f>-'Assumptions (v3b)'!E51</f>
        <v>0</v>
      </c>
      <c r="E23" s="56">
        <f>-'Assumptions (v3b)'!F51</f>
        <v>0</v>
      </c>
    </row>
    <row r="24" spans="1:5" x14ac:dyDescent="0.25">
      <c r="A24" s="46" t="s">
        <v>141</v>
      </c>
      <c r="C24" s="56">
        <f>-'Assumptions (v3b)'!D69</f>
        <v>-6.3496436591618624</v>
      </c>
      <c r="D24" s="56">
        <f>-'Assumptions (v3b)'!E69</f>
        <v>-2.4557041591836422</v>
      </c>
      <c r="E24" s="56">
        <f>-'Assumptions (v3b)'!F69</f>
        <v>-1.2646876419795756</v>
      </c>
    </row>
    <row r="25" spans="1:5" x14ac:dyDescent="0.25">
      <c r="A25" s="47" t="s">
        <v>133</v>
      </c>
      <c r="C25" s="55">
        <f>SUM(C22:C24)</f>
        <v>-34.10055399143311</v>
      </c>
      <c r="D25" s="55">
        <f>SUM(D22:D24)</f>
        <v>-22.40249404926276</v>
      </c>
      <c r="E25" s="55">
        <f>SUM(E22:E24)</f>
        <v>-10.002551719649459</v>
      </c>
    </row>
    <row r="27" spans="1:5" x14ac:dyDescent="0.25">
      <c r="A27" s="68" t="s">
        <v>134</v>
      </c>
      <c r="B27" s="40"/>
      <c r="C27" s="79">
        <f>C19+C25</f>
        <v>-13.172151338372423</v>
      </c>
      <c r="D27" s="79">
        <f>D19+D25</f>
        <v>49.753760683389785</v>
      </c>
      <c r="E27" s="79">
        <f>E19+E25</f>
        <v>63.41839065498263</v>
      </c>
    </row>
    <row r="29" spans="1:5" x14ac:dyDescent="0.25">
      <c r="A29" s="47" t="s">
        <v>49</v>
      </c>
      <c r="C29" s="55">
        <f>C27</f>
        <v>-13.172151338372423</v>
      </c>
      <c r="D29" s="55">
        <f>C29+D27</f>
        <v>36.581609345017363</v>
      </c>
      <c r="E29" s="55">
        <f>D29+E27</f>
        <v>100</v>
      </c>
    </row>
    <row r="31" spans="1:5" x14ac:dyDescent="0.25">
      <c r="A31" s="64" t="s">
        <v>52</v>
      </c>
    </row>
    <row r="32" spans="1:5" x14ac:dyDescent="0.25">
      <c r="A32" s="46" t="s">
        <v>53</v>
      </c>
      <c r="C32" s="80">
        <f>'Assumptions (v3b)'!D25</f>
        <v>300</v>
      </c>
      <c r="D32" s="80">
        <f>'Assumptions (v3b)'!E25</f>
        <v>300</v>
      </c>
      <c r="E32" s="80">
        <f>'Assumptions (v3b)'!F25</f>
        <v>300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F3AA7-A117-4201-8A27-B539EB9B5052}">
  <dimension ref="A1:E22"/>
  <sheetViews>
    <sheetView workbookViewId="0">
      <selection activeCell="C20" sqref="C20"/>
    </sheetView>
  </sheetViews>
  <sheetFormatPr defaultRowHeight="15" x14ac:dyDescent="0.25"/>
  <cols>
    <col min="1" max="1" width="53.28515625" customWidth="1"/>
    <col min="2" max="5" width="19" customWidth="1"/>
  </cols>
  <sheetData>
    <row r="1" spans="1:5" ht="18.75" x14ac:dyDescent="0.3">
      <c r="A1" s="44" t="s">
        <v>20</v>
      </c>
    </row>
    <row r="2" spans="1:5" x14ac:dyDescent="0.25">
      <c r="A2" s="45" t="s">
        <v>160</v>
      </c>
    </row>
    <row r="4" spans="1:5" x14ac:dyDescent="0.25">
      <c r="B4" s="62">
        <v>45658</v>
      </c>
      <c r="C4" s="62">
        <v>46022</v>
      </c>
      <c r="D4" s="62">
        <v>46387</v>
      </c>
      <c r="E4" s="62">
        <v>46752</v>
      </c>
    </row>
    <row r="5" spans="1:5" x14ac:dyDescent="0.25">
      <c r="A5" s="47" t="s">
        <v>25</v>
      </c>
    </row>
    <row r="6" spans="1:5" x14ac:dyDescent="0.25">
      <c r="A6" s="46" t="s">
        <v>26</v>
      </c>
      <c r="B6" s="56">
        <f>'Assumptions (v3b)'!C9</f>
        <v>1000</v>
      </c>
      <c r="C6" s="56">
        <f>B6-'P&amp;L (v3b)'!C32</f>
        <v>700</v>
      </c>
      <c r="D6" s="56">
        <f>C6-'P&amp;L (v3b)'!D32</f>
        <v>400</v>
      </c>
      <c r="E6" s="56">
        <f>D6-'P&amp;L (v3b)'!E32</f>
        <v>100</v>
      </c>
    </row>
    <row r="7" spans="1:5" x14ac:dyDescent="0.25">
      <c r="A7" s="47" t="s">
        <v>27</v>
      </c>
      <c r="B7" s="55">
        <f>B6</f>
        <v>1000</v>
      </c>
      <c r="C7" s="55">
        <f>C6</f>
        <v>700</v>
      </c>
      <c r="D7" s="55">
        <f>D6</f>
        <v>400</v>
      </c>
      <c r="E7" s="55">
        <f>E6</f>
        <v>100</v>
      </c>
    </row>
    <row r="9" spans="1:5" x14ac:dyDescent="0.25">
      <c r="A9" s="47" t="s">
        <v>28</v>
      </c>
    </row>
    <row r="10" spans="1:5" x14ac:dyDescent="0.25">
      <c r="A10" s="47" t="s">
        <v>29</v>
      </c>
    </row>
    <row r="11" spans="1:5" x14ac:dyDescent="0.25">
      <c r="A11" s="47" t="s">
        <v>80</v>
      </c>
      <c r="B11" s="56">
        <f>'Assumptions (v3b)'!G38</f>
        <v>698.34521136127125</v>
      </c>
      <c r="C11" s="56">
        <f>'Assumptions (v3b)'!G40</f>
        <v>571.315346032251</v>
      </c>
      <c r="D11" s="56">
        <f>'Assumptions (v3b)'!G41</f>
        <v>291.26213592233012</v>
      </c>
      <c r="E11" s="56">
        <f>'Assumptions (v3b)'!G42</f>
        <v>0</v>
      </c>
    </row>
    <row r="12" spans="1:5" x14ac:dyDescent="0.25">
      <c r="A12" s="47" t="s">
        <v>30</v>
      </c>
      <c r="B12" s="56">
        <f>'Assumptions (v3b)'!C62</f>
        <v>90</v>
      </c>
      <c r="C12" s="56">
        <f>B12-'P&amp;L (v3b)'!C8</f>
        <v>60</v>
      </c>
      <c r="D12" s="56">
        <f>C12-'P&amp;L (v3b)'!D8</f>
        <v>30</v>
      </c>
      <c r="E12" s="56">
        <f>D12-'P&amp;L (v3b)'!E8</f>
        <v>0</v>
      </c>
    </row>
    <row r="13" spans="1:5" x14ac:dyDescent="0.25">
      <c r="A13" s="47" t="s">
        <v>81</v>
      </c>
      <c r="B13" s="55">
        <f>B11+B12</f>
        <v>788.34521136127125</v>
      </c>
      <c r="C13" s="55">
        <f>C11+C12</f>
        <v>631.315346032251</v>
      </c>
      <c r="D13" s="55">
        <f>D11+D12</f>
        <v>321.26213592233012</v>
      </c>
      <c r="E13" s="55">
        <f>E11+E12</f>
        <v>0</v>
      </c>
    </row>
    <row r="14" spans="1:5" x14ac:dyDescent="0.25">
      <c r="A14" s="47" t="s">
        <v>31</v>
      </c>
      <c r="B14" s="56">
        <f>'Assumptions (v3b)'!C64</f>
        <v>211.65478863872875</v>
      </c>
      <c r="C14" s="56">
        <f>'Assumptions (v3b)'!D73</f>
        <v>81.856805306121402</v>
      </c>
      <c r="D14" s="56">
        <f>'Assumptions (v3b)'!E73</f>
        <v>42.156254732652521</v>
      </c>
      <c r="E14" s="56">
        <f>'Assumptions (v3b)'!F73</f>
        <v>0</v>
      </c>
    </row>
    <row r="15" spans="1:5" x14ac:dyDescent="0.25">
      <c r="A15" s="47" t="s">
        <v>32</v>
      </c>
      <c r="B15" s="55">
        <f>B13+B14</f>
        <v>1000</v>
      </c>
      <c r="C15" s="55">
        <f>C13+C14</f>
        <v>713.17215133837237</v>
      </c>
      <c r="D15" s="55">
        <f>D13+D14</f>
        <v>363.41839065498266</v>
      </c>
      <c r="E15" s="55">
        <f>E13+E14</f>
        <v>0</v>
      </c>
    </row>
    <row r="16" spans="1:5" x14ac:dyDescent="0.25">
      <c r="A16" s="47" t="s">
        <v>33</v>
      </c>
      <c r="B16" s="55">
        <f>B15</f>
        <v>1000</v>
      </c>
      <c r="C16" s="55">
        <f>C15</f>
        <v>713.17215133837237</v>
      </c>
      <c r="D16" s="55">
        <f>D15</f>
        <v>363.41839065498266</v>
      </c>
      <c r="E16" s="55">
        <f>E15</f>
        <v>0</v>
      </c>
    </row>
    <row r="18" spans="1:5" x14ac:dyDescent="0.25">
      <c r="A18" s="47" t="s">
        <v>34</v>
      </c>
    </row>
    <row r="19" spans="1:5" x14ac:dyDescent="0.25">
      <c r="A19" s="47" t="s">
        <v>35</v>
      </c>
      <c r="B19" s="56">
        <v>0</v>
      </c>
      <c r="C19" s="56">
        <f>B19+'P&amp;L (v3b)'!C27</f>
        <v>-13.172151338372423</v>
      </c>
      <c r="D19" s="56">
        <f>C19+'P&amp;L (v3b)'!D27</f>
        <v>36.581609345017363</v>
      </c>
      <c r="E19" s="56">
        <f>D19+'P&amp;L (v3b)'!E27</f>
        <v>100</v>
      </c>
    </row>
    <row r="20" spans="1:5" x14ac:dyDescent="0.25">
      <c r="A20" s="47" t="s">
        <v>36</v>
      </c>
      <c r="B20" s="55">
        <f>B19</f>
        <v>0</v>
      </c>
      <c r="C20" s="55">
        <f>C19</f>
        <v>-13.172151338372423</v>
      </c>
      <c r="D20" s="55">
        <f>D19</f>
        <v>36.581609345017363</v>
      </c>
      <c r="E20" s="55">
        <f>E19</f>
        <v>100</v>
      </c>
    </row>
    <row r="22" spans="1:5" x14ac:dyDescent="0.25">
      <c r="A22" s="50" t="s">
        <v>37</v>
      </c>
      <c r="B22" t="str">
        <f>IF(ABS(B7-B16-B20)&lt;0.01,"✅ Balanced","❌ "&amp;TEXT(B7-B16-B20,"#,##0.00"))</f>
        <v>✅ Balanced</v>
      </c>
      <c r="C22" t="str">
        <f>IF(ABS(C7-C16-C20)&lt;0.01,"✅ Balanced","❌ "&amp;TEXT(C7-C16-C20,"#,##0.00"))</f>
        <v>✅ Balanced</v>
      </c>
      <c r="D22" t="str">
        <f>IF(ABS(D7-D16-D20)&lt;0.01,"✅ Balanced","❌ "&amp;TEXT(D7-D16-D20,"#,##0.00"))</f>
        <v>✅ Balanced</v>
      </c>
      <c r="E22" t="str">
        <f>IF(ABS(E7-E16-E20)&lt;0.01,"✅ Balanced","❌ "&amp;TEXT(E7-E16-E20,"#,##0.00"))</f>
        <v>✅ Balanced</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CCD2C-A127-444E-B9EB-A00A53B7D170}">
  <dimension ref="A1:E40"/>
  <sheetViews>
    <sheetView workbookViewId="0">
      <selection activeCell="I18" sqref="I18"/>
    </sheetView>
  </sheetViews>
  <sheetFormatPr defaultRowHeight="15" x14ac:dyDescent="0.25"/>
  <cols>
    <col min="1" max="1" width="53.28515625" customWidth="1"/>
    <col min="3" max="5" width="17.140625" customWidth="1"/>
  </cols>
  <sheetData>
    <row r="1" spans="1:5" ht="18.75" x14ac:dyDescent="0.3">
      <c r="A1" s="44" t="s">
        <v>54</v>
      </c>
    </row>
    <row r="2" spans="1:5" x14ac:dyDescent="0.25">
      <c r="A2" s="45" t="s">
        <v>55</v>
      </c>
    </row>
    <row r="4" spans="1:5" x14ac:dyDescent="0.25">
      <c r="C4" s="62">
        <v>46022</v>
      </c>
      <c r="D4" s="62">
        <v>46387</v>
      </c>
      <c r="E4" s="62">
        <v>46752</v>
      </c>
    </row>
    <row r="6" spans="1:5" x14ac:dyDescent="0.25">
      <c r="A6" s="47" t="s">
        <v>56</v>
      </c>
      <c r="C6" s="52">
        <f>'Balance Sheet (v3b)'!B6</f>
        <v>1000</v>
      </c>
      <c r="D6" s="52">
        <f>'Balance Sheet (v3b)'!C6</f>
        <v>700</v>
      </c>
      <c r="E6" s="52">
        <f>'Balance Sheet (v3b)'!D6</f>
        <v>400</v>
      </c>
    </row>
    <row r="8" spans="1:5" x14ac:dyDescent="0.25">
      <c r="A8" s="47" t="s">
        <v>57</v>
      </c>
    </row>
    <row r="9" spans="1:5" x14ac:dyDescent="0.25">
      <c r="A9" s="46" t="s">
        <v>158</v>
      </c>
      <c r="C9" s="53">
        <f>-'Assumptions (v3b)'!D23</f>
        <v>-250</v>
      </c>
      <c r="D9" s="53">
        <f>-'Assumptions (v3b)'!E23</f>
        <v>-250</v>
      </c>
      <c r="E9" s="53">
        <f>-'Assumptions (v3b)'!F23</f>
        <v>-250</v>
      </c>
    </row>
    <row r="10" spans="1:5" x14ac:dyDescent="0.25">
      <c r="A10" s="47" t="s">
        <v>159</v>
      </c>
      <c r="C10" s="53">
        <f>-'Assumptions (v3b)'!D24</f>
        <v>-50</v>
      </c>
      <c r="D10" s="53">
        <f>-'Assumptions (v3b)'!E24</f>
        <v>-50</v>
      </c>
      <c r="E10" s="53">
        <f>-'Assumptions (v3b)'!F24</f>
        <v>-50</v>
      </c>
    </row>
    <row r="11" spans="1:5" ht="15.75" thickBot="1" x14ac:dyDescent="0.3">
      <c r="A11" s="47" t="s">
        <v>60</v>
      </c>
      <c r="C11" s="57">
        <f>SUM(C9:C10)</f>
        <v>-300</v>
      </c>
      <c r="D11" s="57">
        <f>SUM(D9:D10)</f>
        <v>-300</v>
      </c>
      <c r="E11" s="57">
        <f>SUM(E9:E10)</f>
        <v>-300</v>
      </c>
    </row>
    <row r="12" spans="1:5" ht="15.75" thickTop="1" x14ac:dyDescent="0.25"/>
    <row r="13" spans="1:5" ht="15.75" thickBot="1" x14ac:dyDescent="0.3">
      <c r="A13" s="47" t="s">
        <v>61</v>
      </c>
      <c r="C13" s="58">
        <f>C6+C11</f>
        <v>700</v>
      </c>
      <c r="D13" s="58">
        <f>D6+D11</f>
        <v>400</v>
      </c>
      <c r="E13" s="58">
        <f>E6+E11</f>
        <v>100</v>
      </c>
    </row>
    <row r="14" spans="1:5" ht="15.75" thickTop="1" x14ac:dyDescent="0.25"/>
    <row r="15" spans="1:5" x14ac:dyDescent="0.25">
      <c r="A15" s="50" t="s">
        <v>62</v>
      </c>
      <c r="C15" s="47" t="str">
        <f>IF(ABS(C13-'Balance Sheet (v3b)'!C6)&lt;0.01,"✅ Ties","❌ "&amp;TEXT(C13-'Balance Sheet (v3b)'!C6,"#,##0.00"))</f>
        <v>✅ Ties</v>
      </c>
      <c r="D15" s="47" t="str">
        <f>IF(ABS(D13-'Balance Sheet (v3b)'!D6)&lt;0.01,"✅ Ties","❌ "&amp;TEXT(D13-'Balance Sheet (v3b)'!D6,"#,##0.00"))</f>
        <v>✅ Ties</v>
      </c>
      <c r="E15" s="47" t="str">
        <f>IF(ABS(E13-'Balance Sheet (v3b)'!E6)&lt;0.01,"✅ Ties","❌ "&amp;TEXT(E13-'Balance Sheet (v3b)'!E6,"#,##0.00"))</f>
        <v>✅ Ties</v>
      </c>
    </row>
    <row r="18" spans="1:5" ht="15.75" x14ac:dyDescent="0.25">
      <c r="A18" s="51" t="s">
        <v>63</v>
      </c>
    </row>
    <row r="19" spans="1:5" x14ac:dyDescent="0.25">
      <c r="A19" s="45" t="s">
        <v>64</v>
      </c>
    </row>
    <row r="20" spans="1:5" x14ac:dyDescent="0.25">
      <c r="C20" s="49" t="s">
        <v>22</v>
      </c>
      <c r="D20" s="49" t="s">
        <v>23</v>
      </c>
      <c r="E20" s="49" t="s">
        <v>24</v>
      </c>
    </row>
    <row r="22" spans="1:5" x14ac:dyDescent="0.25">
      <c r="A22" s="47" t="s">
        <v>65</v>
      </c>
      <c r="C22" s="55">
        <f>'Balance Sheet (v3b)'!B15</f>
        <v>1000</v>
      </c>
      <c r="D22" s="55">
        <f>'Balance Sheet (v3b)'!C15</f>
        <v>713.17215133837237</v>
      </c>
      <c r="E22" s="55">
        <f>'Balance Sheet (v3b)'!D15</f>
        <v>363.41839065498266</v>
      </c>
    </row>
    <row r="24" spans="1:5" x14ac:dyDescent="0.25">
      <c r="A24" s="47" t="s">
        <v>66</v>
      </c>
    </row>
    <row r="25" spans="1:5" x14ac:dyDescent="0.25">
      <c r="A25" s="46" t="s">
        <v>79</v>
      </c>
      <c r="C25" s="56">
        <f>-('P&amp;L (v3b)'!C6+'P&amp;L (v3b)'!C7)</f>
        <v>-250</v>
      </c>
      <c r="D25" s="56">
        <f>-('P&amp;L (v3b)'!D6+'P&amp;L (v3b)'!D7)</f>
        <v>-300</v>
      </c>
      <c r="E25" s="56">
        <f>-('P&amp;L (v3b)'!E6+'P&amp;L (v3b)'!E7)</f>
        <v>-300</v>
      </c>
    </row>
    <row r="26" spans="1:5" x14ac:dyDescent="0.25">
      <c r="A26" s="47" t="s">
        <v>40</v>
      </c>
      <c r="C26" s="56">
        <f>-'P&amp;L (v3b)'!C8</f>
        <v>-30</v>
      </c>
      <c r="D26" s="56">
        <f>-'P&amp;L (v3b)'!D8</f>
        <v>-30</v>
      </c>
      <c r="E26" s="56">
        <f>-'P&amp;L (v3b)'!E8</f>
        <v>-30</v>
      </c>
    </row>
    <row r="27" spans="1:5" x14ac:dyDescent="0.25">
      <c r="A27" s="46" t="s">
        <v>67</v>
      </c>
      <c r="C27" s="56">
        <f>-'P&amp;L (v3b)'!C9</f>
        <v>-40.928402653060708</v>
      </c>
      <c r="D27" s="56">
        <f>-'P&amp;L (v3b)'!D9</f>
        <v>-42.156254732652521</v>
      </c>
      <c r="E27" s="56">
        <f>-'P&amp;L (v3b)'!E9</f>
        <v>-43.420942374632098</v>
      </c>
    </row>
    <row r="28" spans="1:5" ht="15.75" thickBot="1" x14ac:dyDescent="0.3">
      <c r="A28" s="47" t="s">
        <v>136</v>
      </c>
      <c r="C28" s="60">
        <f>SUM(C25:C27)</f>
        <v>-320.92840265306069</v>
      </c>
      <c r="D28" s="60">
        <f>SUM(D25:D27)</f>
        <v>-372.15625473265254</v>
      </c>
      <c r="E28" s="60">
        <f>SUM(E25:E27)</f>
        <v>-373.42094237463209</v>
      </c>
    </row>
    <row r="29" spans="1:5" ht="15.75" thickTop="1" x14ac:dyDescent="0.25"/>
    <row r="30" spans="1:5" x14ac:dyDescent="0.25">
      <c r="A30" s="47" t="s">
        <v>137</v>
      </c>
    </row>
    <row r="31" spans="1:5" x14ac:dyDescent="0.25">
      <c r="A31" s="46" t="s">
        <v>180</v>
      </c>
      <c r="C31" s="56">
        <f>'Assumptions (v3b)'!D50</f>
        <v>27.750910332271246</v>
      </c>
      <c r="D31" s="56">
        <f>'Assumptions (v3b)'!E50</f>
        <v>19.946789890079117</v>
      </c>
      <c r="E31" s="56">
        <f>'Assumptions (v3b)'!F50</f>
        <v>8.737864077669883</v>
      </c>
    </row>
    <row r="32" spans="1:5" x14ac:dyDescent="0.25">
      <c r="A32" s="47" t="s">
        <v>117</v>
      </c>
      <c r="C32" s="56">
        <f>'Assumptions (v3b)'!D51</f>
        <v>0</v>
      </c>
      <c r="D32" s="56">
        <f>'Assumptions (v3b)'!E51</f>
        <v>0</v>
      </c>
      <c r="E32" s="56">
        <f>'Assumptions (v3b)'!F51</f>
        <v>0</v>
      </c>
    </row>
    <row r="33" spans="1:5" x14ac:dyDescent="0.25">
      <c r="A33" s="46" t="s">
        <v>139</v>
      </c>
      <c r="C33" s="56">
        <f>'Assumptions (v3b)'!D69</f>
        <v>6.3496436591618624</v>
      </c>
      <c r="D33" s="56">
        <f>'Assumptions (v3b)'!E69</f>
        <v>2.4557041591836422</v>
      </c>
      <c r="E33" s="56">
        <f>'Assumptions (v3b)'!F69</f>
        <v>1.2646876419795756</v>
      </c>
    </row>
    <row r="34" spans="1:5" x14ac:dyDescent="0.25">
      <c r="A34" s="47" t="s">
        <v>140</v>
      </c>
      <c r="C34" s="59">
        <f>SUM(C31:C33)</f>
        <v>34.10055399143311</v>
      </c>
      <c r="D34" s="59">
        <f>SUM(D31:D33)</f>
        <v>22.40249404926276</v>
      </c>
      <c r="E34" s="59">
        <f>SUM(E31:E33)</f>
        <v>10.002551719649459</v>
      </c>
    </row>
    <row r="36" spans="1:5" x14ac:dyDescent="0.25">
      <c r="A36" s="68" t="s">
        <v>181</v>
      </c>
      <c r="C36" s="79">
        <v>0</v>
      </c>
      <c r="D36" s="56">
        <v>0</v>
      </c>
      <c r="E36" s="56">
        <v>0</v>
      </c>
    </row>
    <row r="38" spans="1:5" ht="15.75" thickBot="1" x14ac:dyDescent="0.3">
      <c r="A38" s="47" t="s">
        <v>69</v>
      </c>
      <c r="C38" s="60">
        <f>C22+C28+C34+C36</f>
        <v>713.17215133837249</v>
      </c>
      <c r="D38" s="60">
        <f>D22+D28+D34+D36</f>
        <v>363.4183906549826</v>
      </c>
      <c r="E38" s="60">
        <f>E22+E28+E34+E36</f>
        <v>2.6645352591003757E-14</v>
      </c>
    </row>
    <row r="39" spans="1:5" ht="15.75" thickTop="1" x14ac:dyDescent="0.25"/>
    <row r="40" spans="1:5" x14ac:dyDescent="0.25">
      <c r="A40" s="50" t="s">
        <v>62</v>
      </c>
      <c r="C40" s="47" t="str">
        <f>IF(ABS(C38-'Balance Sheet (v3b)'!C15)&lt;0.01,"✅ Ties","❌ "&amp;TEXT(C38-'Balance Sheet (v3b)'!C15,"#,##0.00"))</f>
        <v>✅ Ties</v>
      </c>
      <c r="D40" s="47" t="str">
        <f>IF(ABS(D38-'Balance Sheet (v3b)'!D15)&lt;0.01,"✅ Ties","❌ "&amp;TEXT(D38-'Balance Sheet (v3b)'!D15,"#,##0.00"))</f>
        <v>✅ Ties</v>
      </c>
      <c r="E40" s="47" t="str">
        <f>IF(ABS(E38-'Balance Sheet (v3b)'!E15)&lt;0.01,"✅ Ties","❌ "&amp;TEXT(E38-'Balance Sheet (v3b)'!E15,"#,##0.00"))</f>
        <v>✅ Ties</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4F324-3F07-47DA-981E-2B49148E3BF0}">
  <sheetPr>
    <tabColor rgb="FFFF0000"/>
  </sheetPr>
  <dimension ref="A1:A3"/>
  <sheetViews>
    <sheetView workbookViewId="0">
      <selection activeCell="H31" sqref="H31"/>
    </sheetView>
  </sheetViews>
  <sheetFormatPr defaultRowHeight="15" x14ac:dyDescent="0.25"/>
  <sheetData>
    <row r="1" spans="1:1" ht="18.75" x14ac:dyDescent="0.3">
      <c r="A1" s="1" t="s">
        <v>233</v>
      </c>
    </row>
    <row r="3" spans="1:1" x14ac:dyDescent="0.25">
      <c r="A3" s="2" t="s">
        <v>234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A2FDA-90F6-4F59-8F75-E4AED50BAF1E}">
  <dimension ref="A1:G82"/>
  <sheetViews>
    <sheetView workbookViewId="0">
      <selection activeCell="H52" sqref="H52"/>
    </sheetView>
  </sheetViews>
  <sheetFormatPr defaultRowHeight="15" x14ac:dyDescent="0.25"/>
  <cols>
    <col min="1" max="1" width="61" customWidth="1"/>
    <col min="3" max="7" width="17.140625" customWidth="1"/>
  </cols>
  <sheetData>
    <row r="1" spans="1:6" ht="18.75" x14ac:dyDescent="0.3">
      <c r="A1" s="44" t="s">
        <v>217</v>
      </c>
    </row>
    <row r="2" spans="1:6" x14ac:dyDescent="0.25">
      <c r="A2" s="63" t="s">
        <v>143</v>
      </c>
    </row>
    <row r="3" spans="1:6" x14ac:dyDescent="0.25">
      <c r="A3" s="45" t="s">
        <v>218</v>
      </c>
    </row>
    <row r="4" spans="1:6" x14ac:dyDescent="0.25">
      <c r="A4" s="45" t="s">
        <v>219</v>
      </c>
    </row>
    <row r="5" spans="1:6" x14ac:dyDescent="0.25">
      <c r="A5" s="45" t="s">
        <v>163</v>
      </c>
    </row>
    <row r="7" spans="1:6" x14ac:dyDescent="0.25">
      <c r="A7" s="65" t="s">
        <v>83</v>
      </c>
      <c r="B7" s="5"/>
      <c r="C7" s="5"/>
    </row>
    <row r="8" spans="1:6" x14ac:dyDescent="0.25">
      <c r="A8" s="45" t="s">
        <v>2</v>
      </c>
      <c r="C8" s="66">
        <v>3</v>
      </c>
    </row>
    <row r="9" spans="1:6" x14ac:dyDescent="0.25">
      <c r="A9" s="45" t="s">
        <v>7</v>
      </c>
      <c r="C9" s="67">
        <v>1000</v>
      </c>
    </row>
    <row r="11" spans="1:6" x14ac:dyDescent="0.25">
      <c r="A11" s="48" t="s">
        <v>164</v>
      </c>
      <c r="B11" s="5"/>
      <c r="C11" s="49" t="s">
        <v>5</v>
      </c>
      <c r="D11" s="62">
        <v>46022</v>
      </c>
      <c r="E11" s="62">
        <v>46387</v>
      </c>
      <c r="F11" s="62">
        <v>46752</v>
      </c>
    </row>
    <row r="12" spans="1:6" x14ac:dyDescent="0.25">
      <c r="A12" s="46" t="s">
        <v>8</v>
      </c>
      <c r="C12" s="67">
        <v>600</v>
      </c>
      <c r="D12" s="54">
        <f>C12/C8</f>
        <v>200</v>
      </c>
      <c r="E12" s="54">
        <f>C12/C8</f>
        <v>200</v>
      </c>
      <c r="F12" s="54">
        <f>C12/C8</f>
        <v>200</v>
      </c>
    </row>
    <row r="13" spans="1:6" x14ac:dyDescent="0.25">
      <c r="A13" s="46" t="s">
        <v>9</v>
      </c>
      <c r="C13" s="67">
        <v>150</v>
      </c>
      <c r="D13" s="54">
        <f>C13/C8</f>
        <v>50</v>
      </c>
      <c r="E13" s="54">
        <f>C13/C8</f>
        <v>50</v>
      </c>
      <c r="F13" s="54">
        <f>C13/C8</f>
        <v>50</v>
      </c>
    </row>
    <row r="14" spans="1:6" x14ac:dyDescent="0.25">
      <c r="A14" s="47" t="s">
        <v>153</v>
      </c>
      <c r="C14" s="52">
        <f>C12+C13</f>
        <v>750</v>
      </c>
      <c r="D14" s="52">
        <f>D12+D13</f>
        <v>250</v>
      </c>
      <c r="E14" s="52">
        <f>E12+E13</f>
        <v>250</v>
      </c>
      <c r="F14" s="52">
        <f>F12+F13</f>
        <v>250</v>
      </c>
    </row>
    <row r="15" spans="1:6" x14ac:dyDescent="0.25">
      <c r="A15" s="46" t="s">
        <v>86</v>
      </c>
      <c r="C15" s="67">
        <v>90</v>
      </c>
    </row>
    <row r="17" spans="1:6" x14ac:dyDescent="0.25">
      <c r="A17" s="68" t="s">
        <v>165</v>
      </c>
      <c r="B17" s="40"/>
      <c r="C17" s="40"/>
      <c r="D17" s="40"/>
      <c r="E17" s="69">
        <v>46387</v>
      </c>
      <c r="F17" s="69">
        <v>46752</v>
      </c>
    </row>
    <row r="18" spans="1:6" x14ac:dyDescent="0.25">
      <c r="A18" s="46" t="s">
        <v>166</v>
      </c>
      <c r="E18" s="67">
        <v>400</v>
      </c>
      <c r="F18" s="67">
        <v>400</v>
      </c>
    </row>
    <row r="19" spans="1:6" x14ac:dyDescent="0.25">
      <c r="A19" s="46" t="s">
        <v>167</v>
      </c>
      <c r="E19" s="54">
        <f>E13</f>
        <v>50</v>
      </c>
      <c r="F19" s="54">
        <f>F13</f>
        <v>50</v>
      </c>
    </row>
    <row r="20" spans="1:6" x14ac:dyDescent="0.25">
      <c r="A20" s="47" t="s">
        <v>168</v>
      </c>
      <c r="E20" s="52">
        <f>E18+E19</f>
        <v>450</v>
      </c>
      <c r="F20" s="52">
        <f>F18+F19</f>
        <v>450</v>
      </c>
    </row>
    <row r="22" spans="1:6" x14ac:dyDescent="0.25">
      <c r="A22" s="81" t="s">
        <v>154</v>
      </c>
      <c r="B22" s="82"/>
      <c r="C22" s="82"/>
      <c r="D22" s="83">
        <v>46022</v>
      </c>
      <c r="E22" s="83">
        <v>46387</v>
      </c>
      <c r="F22" s="83">
        <v>46752</v>
      </c>
    </row>
    <row r="23" spans="1:6" x14ac:dyDescent="0.25">
      <c r="A23" s="46" t="s">
        <v>155</v>
      </c>
      <c r="D23" s="67">
        <v>400</v>
      </c>
      <c r="E23" s="67">
        <v>400</v>
      </c>
      <c r="F23" s="67">
        <v>400</v>
      </c>
    </row>
    <row r="24" spans="1:6" x14ac:dyDescent="0.25">
      <c r="A24" s="46" t="s">
        <v>156</v>
      </c>
      <c r="D24" s="54">
        <f>D13</f>
        <v>50</v>
      </c>
      <c r="E24" s="54">
        <f>E13</f>
        <v>50</v>
      </c>
      <c r="F24" s="54">
        <f>F13</f>
        <v>50</v>
      </c>
    </row>
    <row r="25" spans="1:6" x14ac:dyDescent="0.25">
      <c r="A25" s="47" t="s">
        <v>157</v>
      </c>
      <c r="D25" s="52">
        <f>D23+D24</f>
        <v>450</v>
      </c>
      <c r="E25" s="52">
        <f>E23+E24</f>
        <v>450</v>
      </c>
      <c r="F25" s="52">
        <f>F23+F24</f>
        <v>450</v>
      </c>
    </row>
    <row r="27" spans="1:6" x14ac:dyDescent="0.25">
      <c r="A27" s="48" t="s">
        <v>87</v>
      </c>
      <c r="B27" s="5"/>
      <c r="C27" s="5"/>
      <c r="D27" s="49" t="s">
        <v>88</v>
      </c>
      <c r="E27" s="49" t="s">
        <v>89</v>
      </c>
      <c r="F27" s="49" t="s">
        <v>90</v>
      </c>
    </row>
    <row r="28" spans="1:6" x14ac:dyDescent="0.25">
      <c r="A28" s="46" t="s">
        <v>91</v>
      </c>
      <c r="D28" s="71">
        <v>0.03</v>
      </c>
      <c r="E28" s="71">
        <v>3.5000000000000003E-2</v>
      </c>
      <c r="F28" s="71">
        <v>0.04</v>
      </c>
    </row>
    <row r="29" spans="1:6" x14ac:dyDescent="0.25">
      <c r="A29" s="46" t="s">
        <v>92</v>
      </c>
      <c r="D29" s="71">
        <v>0.03</v>
      </c>
      <c r="E29" s="71">
        <v>3.5000000000000003E-2</v>
      </c>
    </row>
    <row r="30" spans="1:6" x14ac:dyDescent="0.25">
      <c r="A30" s="46" t="s">
        <v>93</v>
      </c>
      <c r="D30" s="71">
        <v>0.03</v>
      </c>
    </row>
    <row r="32" spans="1:6" x14ac:dyDescent="0.25">
      <c r="A32" s="48" t="s">
        <v>95</v>
      </c>
      <c r="B32" s="5"/>
      <c r="C32" s="5"/>
      <c r="D32" s="49" t="s">
        <v>96</v>
      </c>
      <c r="E32" s="49" t="s">
        <v>97</v>
      </c>
      <c r="F32" s="49" t="s">
        <v>98</v>
      </c>
    </row>
    <row r="33" spans="1:7" x14ac:dyDescent="0.25">
      <c r="A33" s="46" t="s">
        <v>99</v>
      </c>
      <c r="D33" s="72">
        <f>1/(1+D28)^1</f>
        <v>0.970873786407767</v>
      </c>
      <c r="E33" s="72">
        <f>1/(1+E28)^2</f>
        <v>0.93351070036640305</v>
      </c>
      <c r="F33" s="72">
        <f>1/(1+F28)^3</f>
        <v>0.88899635867091487</v>
      </c>
    </row>
    <row r="34" spans="1:7" x14ac:dyDescent="0.25">
      <c r="A34" s="46" t="s">
        <v>100</v>
      </c>
      <c r="D34" s="72">
        <f>1/(1+D29)^1</f>
        <v>0.970873786407767</v>
      </c>
      <c r="E34" s="72">
        <f>1/(1+E29)^2</f>
        <v>0.93351070036640305</v>
      </c>
    </row>
    <row r="35" spans="1:7" x14ac:dyDescent="0.25">
      <c r="A35" s="46" t="s">
        <v>101</v>
      </c>
      <c r="D35" s="72">
        <f>1/(1+D30)^1</f>
        <v>0.970873786407767</v>
      </c>
    </row>
    <row r="37" spans="1:7" x14ac:dyDescent="0.25">
      <c r="A37" s="48" t="s">
        <v>102</v>
      </c>
      <c r="B37" s="5"/>
      <c r="C37" s="5"/>
      <c r="D37" s="73" t="s">
        <v>103</v>
      </c>
      <c r="E37" s="73" t="s">
        <v>104</v>
      </c>
      <c r="F37" s="73" t="s">
        <v>105</v>
      </c>
      <c r="G37" s="73" t="s">
        <v>106</v>
      </c>
    </row>
    <row r="38" spans="1:7" x14ac:dyDescent="0.25">
      <c r="A38" s="46" t="s">
        <v>169</v>
      </c>
      <c r="D38" s="56">
        <f>D14*D33</f>
        <v>242.71844660194176</v>
      </c>
      <c r="E38" s="56">
        <f>E14*E33</f>
        <v>233.37767509160076</v>
      </c>
      <c r="F38" s="56">
        <f>F14*F33</f>
        <v>222.24908966772873</v>
      </c>
      <c r="G38" s="55">
        <f>SUM(D38:F38)</f>
        <v>698.34521136127125</v>
      </c>
    </row>
    <row r="39" spans="1:7" x14ac:dyDescent="0.25">
      <c r="A39" s="46" t="s">
        <v>170</v>
      </c>
      <c r="E39" s="56">
        <f>E14*D34</f>
        <v>242.71844660194176</v>
      </c>
      <c r="F39" s="56">
        <f>F14*E34</f>
        <v>233.37767509160076</v>
      </c>
      <c r="G39" s="55">
        <f>SUM(E39:F39)</f>
        <v>476.0961216935425</v>
      </c>
    </row>
    <row r="40" spans="1:7" x14ac:dyDescent="0.25">
      <c r="A40" s="68" t="s">
        <v>171</v>
      </c>
      <c r="E40" s="79">
        <f>E20*D34</f>
        <v>436.89320388349518</v>
      </c>
      <c r="F40" s="79">
        <f>F20*E34</f>
        <v>420.07981516488138</v>
      </c>
      <c r="G40" s="79">
        <f>SUM(E40:F40)</f>
        <v>856.9730190483765</v>
      </c>
    </row>
    <row r="41" spans="1:7" x14ac:dyDescent="0.25">
      <c r="A41" s="46" t="s">
        <v>172</v>
      </c>
      <c r="F41" s="56">
        <f>F20*D35</f>
        <v>436.89320388349518</v>
      </c>
      <c r="G41" s="55">
        <f>F41</f>
        <v>436.89320388349518</v>
      </c>
    </row>
    <row r="42" spans="1:7" x14ac:dyDescent="0.25">
      <c r="A42" s="46" t="s">
        <v>173</v>
      </c>
      <c r="G42" s="55">
        <v>0</v>
      </c>
    </row>
    <row r="44" spans="1:7" x14ac:dyDescent="0.25">
      <c r="A44" s="46" t="s">
        <v>174</v>
      </c>
      <c r="E44" s="56">
        <f>E14*D33</f>
        <v>242.71844660194176</v>
      </c>
      <c r="F44" s="56">
        <f>F14*E33</f>
        <v>233.37767509160076</v>
      </c>
      <c r="G44" s="55">
        <f>SUM(E44:F44)</f>
        <v>476.0961216935425</v>
      </c>
    </row>
    <row r="45" spans="1:7" x14ac:dyDescent="0.25">
      <c r="A45" s="46" t="s">
        <v>175</v>
      </c>
      <c r="F45" s="56">
        <f>F20*D33</f>
        <v>436.89320388349518</v>
      </c>
      <c r="G45" s="55">
        <f>F45</f>
        <v>436.89320388349518</v>
      </c>
    </row>
    <row r="47" spans="1:7" x14ac:dyDescent="0.25">
      <c r="A47" s="48" t="s">
        <v>113</v>
      </c>
      <c r="B47" s="5"/>
      <c r="C47" s="5"/>
      <c r="D47" s="62">
        <v>46022</v>
      </c>
      <c r="E47" s="62">
        <v>46387</v>
      </c>
      <c r="F47" s="62">
        <v>46752</v>
      </c>
    </row>
    <row r="48" spans="1:7" x14ac:dyDescent="0.25">
      <c r="A48" s="46" t="s">
        <v>114</v>
      </c>
      <c r="D48" s="56">
        <f>G38</f>
        <v>698.34521136127125</v>
      </c>
      <c r="E48" s="56">
        <f>G40</f>
        <v>856.9730190483765</v>
      </c>
      <c r="F48" s="56">
        <f>G41</f>
        <v>436.89320388349518</v>
      </c>
    </row>
    <row r="49" spans="1:6" x14ac:dyDescent="0.25">
      <c r="A49" s="46" t="s">
        <v>176</v>
      </c>
      <c r="D49" s="56">
        <f>-D14</f>
        <v>-250</v>
      </c>
      <c r="E49" s="56">
        <f>-E20</f>
        <v>-450</v>
      </c>
      <c r="F49" s="56">
        <f>-F20</f>
        <v>-450</v>
      </c>
    </row>
    <row r="50" spans="1:6" x14ac:dyDescent="0.25">
      <c r="A50" s="46" t="s">
        <v>116</v>
      </c>
      <c r="D50" s="56">
        <f>G44-(G38-D14)</f>
        <v>27.750910332271246</v>
      </c>
      <c r="E50" s="56">
        <f>G45-(G40-E20)</f>
        <v>29.920184835118675</v>
      </c>
      <c r="F50" s="56">
        <f>G42-(G41-F20)</f>
        <v>13.106796116504825</v>
      </c>
    </row>
    <row r="51" spans="1:6" x14ac:dyDescent="0.25">
      <c r="A51" s="46" t="s">
        <v>117</v>
      </c>
      <c r="D51" s="56">
        <f>G39-G44</f>
        <v>0</v>
      </c>
      <c r="E51" s="56">
        <f>G41-G45</f>
        <v>0</v>
      </c>
      <c r="F51" s="56">
        <v>0</v>
      </c>
    </row>
    <row r="52" spans="1:6" x14ac:dyDescent="0.25">
      <c r="A52" s="68" t="s">
        <v>177</v>
      </c>
      <c r="D52" s="79">
        <f>G40-G39</f>
        <v>380.876897354834</v>
      </c>
      <c r="E52" s="56">
        <v>0</v>
      </c>
      <c r="F52" s="56">
        <v>0</v>
      </c>
    </row>
    <row r="53" spans="1:6" x14ac:dyDescent="0.25">
      <c r="A53" s="47" t="s">
        <v>118</v>
      </c>
      <c r="D53" s="55">
        <f>SUM(D48:D52)</f>
        <v>856.9730190483765</v>
      </c>
      <c r="E53" s="55">
        <f>SUM(E48:E52)</f>
        <v>436.89320388349518</v>
      </c>
      <c r="F53" s="55">
        <f>SUM(F48:F52)</f>
        <v>0</v>
      </c>
    </row>
    <row r="54" spans="1:6" x14ac:dyDescent="0.25">
      <c r="A54" s="74" t="s">
        <v>178</v>
      </c>
      <c r="D54" s="46" t="str">
        <f>IF(ABS(D53-G40)&lt;0.01,"✅","❌")</f>
        <v>✅</v>
      </c>
      <c r="E54" s="46" t="str">
        <f>IF(ABS(E53-G41)&lt;0.01,"✅","❌")</f>
        <v>✅</v>
      </c>
      <c r="F54" s="46" t="str">
        <f>IF(ABS(F53-G42)&lt;0.01,"✅","❌")</f>
        <v>✅</v>
      </c>
    </row>
    <row r="56" spans="1:6" x14ac:dyDescent="0.25">
      <c r="A56" s="48" t="s">
        <v>120</v>
      </c>
      <c r="B56" s="5"/>
      <c r="C56" s="5"/>
      <c r="D56" s="5"/>
      <c r="E56" s="5"/>
      <c r="F56" s="5"/>
    </row>
    <row r="57" spans="1:6" x14ac:dyDescent="0.25">
      <c r="A57" s="46" t="s">
        <v>121</v>
      </c>
      <c r="C57" s="56">
        <f>C15</f>
        <v>90</v>
      </c>
    </row>
    <row r="58" spans="1:6" x14ac:dyDescent="0.25">
      <c r="A58" s="46" t="s">
        <v>17</v>
      </c>
      <c r="C58" s="56">
        <f>C57/C8</f>
        <v>30</v>
      </c>
    </row>
    <row r="60" spans="1:6" x14ac:dyDescent="0.25">
      <c r="A60" s="48" t="s">
        <v>123</v>
      </c>
      <c r="B60" s="5"/>
      <c r="C60" s="5"/>
      <c r="D60" s="5"/>
    </row>
    <row r="61" spans="1:6" x14ac:dyDescent="0.25">
      <c r="A61" s="46" t="s">
        <v>124</v>
      </c>
      <c r="C61" s="56">
        <f>G38</f>
        <v>698.34521136127125</v>
      </c>
    </row>
    <row r="62" spans="1:6" x14ac:dyDescent="0.25">
      <c r="A62" s="46" t="s">
        <v>12</v>
      </c>
      <c r="C62" s="56">
        <f>C57</f>
        <v>90</v>
      </c>
    </row>
    <row r="63" spans="1:6" x14ac:dyDescent="0.25">
      <c r="A63" s="46" t="s">
        <v>81</v>
      </c>
      <c r="C63" s="55">
        <f>C61+C62</f>
        <v>788.34521136127125</v>
      </c>
    </row>
    <row r="64" spans="1:6" x14ac:dyDescent="0.25">
      <c r="A64" s="46" t="s">
        <v>13</v>
      </c>
      <c r="C64" s="55">
        <f>C9-C63</f>
        <v>211.65478863872875</v>
      </c>
    </row>
    <row r="65" spans="1:6" x14ac:dyDescent="0.25">
      <c r="A65" s="46" t="s">
        <v>14</v>
      </c>
      <c r="C65" s="55">
        <f>C63+C64</f>
        <v>1000</v>
      </c>
    </row>
    <row r="67" spans="1:6" x14ac:dyDescent="0.25">
      <c r="A67" s="4" t="s">
        <v>125</v>
      </c>
      <c r="B67" s="5"/>
      <c r="C67" s="5"/>
      <c r="D67" s="98">
        <f>D11</f>
        <v>46022</v>
      </c>
      <c r="E67" s="98">
        <f>E11</f>
        <v>46387</v>
      </c>
      <c r="F67" s="98">
        <f>F11</f>
        <v>46752</v>
      </c>
    </row>
    <row r="68" spans="1:6" x14ac:dyDescent="0.25">
      <c r="A68" t="s">
        <v>126</v>
      </c>
      <c r="D68" s="36">
        <f>C64</f>
        <v>211.65478863872875</v>
      </c>
      <c r="E68" s="36">
        <f>D75</f>
        <v>0</v>
      </c>
      <c r="F68" s="36">
        <f>E75</f>
        <v>0</v>
      </c>
    </row>
    <row r="69" spans="1:6" x14ac:dyDescent="0.25">
      <c r="A69" t="s">
        <v>127</v>
      </c>
      <c r="D69" s="36">
        <f>D68*D28</f>
        <v>6.3496436591618624</v>
      </c>
      <c r="E69" s="36">
        <f>E68*D28</f>
        <v>0</v>
      </c>
      <c r="F69" s="36">
        <f>F68*D28</f>
        <v>0</v>
      </c>
    </row>
    <row r="70" spans="1:6" x14ac:dyDescent="0.25">
      <c r="A70" s="39" t="s">
        <v>179</v>
      </c>
      <c r="D70" s="41">
        <f>-D52</f>
        <v>-380.876897354834</v>
      </c>
      <c r="E70" s="41">
        <v>0</v>
      </c>
      <c r="F70" s="36">
        <v>0</v>
      </c>
    </row>
    <row r="71" spans="1:6" x14ac:dyDescent="0.25">
      <c r="A71" t="s">
        <v>220</v>
      </c>
      <c r="D71" s="36">
        <f>D68+D69+D70</f>
        <v>-162.87246505694338</v>
      </c>
      <c r="E71" s="36">
        <f>E68+E69+E70</f>
        <v>0</v>
      </c>
      <c r="F71" s="36">
        <f>F68+F69+F70</f>
        <v>0</v>
      </c>
    </row>
    <row r="72" spans="1:6" x14ac:dyDescent="0.25">
      <c r="A72" s="97" t="s">
        <v>221</v>
      </c>
      <c r="D72" s="99">
        <f>IF(D71&lt;0,D71,0)</f>
        <v>-162.87246505694338</v>
      </c>
      <c r="E72" s="99">
        <f>IF(E71&lt;0,E71,0)</f>
        <v>0</v>
      </c>
      <c r="F72" s="99">
        <f>IF(F71&lt;0,F71,0)</f>
        <v>0</v>
      </c>
    </row>
    <row r="73" spans="1:6" x14ac:dyDescent="0.25">
      <c r="A73" s="3" t="s">
        <v>128</v>
      </c>
      <c r="D73" s="37">
        <f>IF(D71&gt;0,-(D71+D72)/C8,0)</f>
        <v>0</v>
      </c>
      <c r="E73" s="37">
        <f>IF(E71&gt;0,-(E71+E72)/2,0)</f>
        <v>0</v>
      </c>
      <c r="F73" s="37">
        <f>IF(F71&gt;0,-(F71+F72)/1,0)</f>
        <v>0</v>
      </c>
    </row>
    <row r="75" spans="1:6" x14ac:dyDescent="0.25">
      <c r="A75" s="3" t="s">
        <v>129</v>
      </c>
      <c r="D75" s="37">
        <f>MAX(D71,0)+D73</f>
        <v>0</v>
      </c>
      <c r="E75" s="37">
        <f>MAX(E71,0)+E73</f>
        <v>0</v>
      </c>
      <c r="F75" s="37">
        <f>MAX(F71,0)+F73</f>
        <v>0</v>
      </c>
    </row>
    <row r="77" spans="1:6" x14ac:dyDescent="0.25">
      <c r="A77" s="4" t="s">
        <v>222</v>
      </c>
      <c r="B77" s="5"/>
      <c r="C77" s="5"/>
      <c r="D77" s="98">
        <f>D11</f>
        <v>46022</v>
      </c>
      <c r="E77" s="98">
        <f>E11</f>
        <v>46387</v>
      </c>
      <c r="F77" s="98">
        <f>F11</f>
        <v>46752</v>
      </c>
    </row>
    <row r="78" spans="1:6" x14ac:dyDescent="0.25">
      <c r="A78" t="s">
        <v>223</v>
      </c>
      <c r="D78" s="36">
        <v>0</v>
      </c>
      <c r="E78" s="36">
        <f>D82</f>
        <v>162.87246505694338</v>
      </c>
      <c r="F78" s="36">
        <f>E82</f>
        <v>77.347474600403558</v>
      </c>
    </row>
    <row r="79" spans="1:6" x14ac:dyDescent="0.25">
      <c r="A79" s="97" t="s">
        <v>224</v>
      </c>
      <c r="D79" s="99">
        <f>-D72</f>
        <v>162.87246505694338</v>
      </c>
      <c r="E79" s="99">
        <f>-E72</f>
        <v>0</v>
      </c>
      <c r="F79" s="99">
        <f>-F72</f>
        <v>0</v>
      </c>
    </row>
    <row r="80" spans="1:6" x14ac:dyDescent="0.25">
      <c r="A80" t="s">
        <v>225</v>
      </c>
      <c r="D80" s="36">
        <v>0</v>
      </c>
      <c r="E80" s="36">
        <f>-E78*(E20/G40)</f>
        <v>-85.524990456539825</v>
      </c>
      <c r="F80" s="36">
        <f>-F78</f>
        <v>-77.347474600403558</v>
      </c>
    </row>
    <row r="81" spans="1:6" x14ac:dyDescent="0.25">
      <c r="A81" s="2" t="s">
        <v>226</v>
      </c>
    </row>
    <row r="82" spans="1:6" x14ac:dyDescent="0.25">
      <c r="A82" s="3" t="s">
        <v>227</v>
      </c>
      <c r="D82" s="37">
        <f>D78+D79+D80</f>
        <v>162.87246505694338</v>
      </c>
      <c r="E82" s="37">
        <f>E78+E79+E80</f>
        <v>77.347474600403558</v>
      </c>
      <c r="F82" s="37">
        <f>F78+F79+F80</f>
        <v>0</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79460-EBD1-4C40-BACD-C5A933C734A0}">
  <dimension ref="A1:E34"/>
  <sheetViews>
    <sheetView workbookViewId="0">
      <selection activeCell="D46" sqref="D46"/>
    </sheetView>
  </sheetViews>
  <sheetFormatPr defaultRowHeight="15" x14ac:dyDescent="0.25"/>
  <cols>
    <col min="1" max="1" width="53.28515625" customWidth="1"/>
    <col min="3" max="5" width="19" customWidth="1"/>
  </cols>
  <sheetData>
    <row r="1" spans="1:5" ht="18.75" x14ac:dyDescent="0.3">
      <c r="A1" s="44" t="s">
        <v>38</v>
      </c>
    </row>
    <row r="2" spans="1:5" x14ac:dyDescent="0.25">
      <c r="A2" s="45" t="s">
        <v>217</v>
      </c>
    </row>
    <row r="4" spans="1:5" x14ac:dyDescent="0.25">
      <c r="C4" s="62">
        <v>46022</v>
      </c>
      <c r="D4" s="62">
        <v>46387</v>
      </c>
      <c r="E4" s="62">
        <v>46752</v>
      </c>
    </row>
    <row r="5" spans="1:5" x14ac:dyDescent="0.25">
      <c r="A5" s="47" t="s">
        <v>39</v>
      </c>
    </row>
    <row r="6" spans="1:5" x14ac:dyDescent="0.25">
      <c r="A6" s="46" t="s">
        <v>77</v>
      </c>
      <c r="C6" s="56">
        <f>'Assumptions (v4)'!D12</f>
        <v>200</v>
      </c>
      <c r="D6" s="56">
        <f>'Assumptions (v4)'!E18</f>
        <v>400</v>
      </c>
      <c r="E6" s="56">
        <f>'Assumptions (v4)'!F18</f>
        <v>400</v>
      </c>
    </row>
    <row r="7" spans="1:5" x14ac:dyDescent="0.25">
      <c r="A7" s="46" t="s">
        <v>78</v>
      </c>
      <c r="C7" s="56">
        <f>'Assumptions (v4)'!D13</f>
        <v>50</v>
      </c>
      <c r="D7" s="56">
        <f>'Assumptions (v4)'!E19</f>
        <v>50</v>
      </c>
      <c r="E7" s="56">
        <f>'Assumptions (v4)'!F19</f>
        <v>50</v>
      </c>
    </row>
    <row r="8" spans="1:5" x14ac:dyDescent="0.25">
      <c r="A8" s="46" t="s">
        <v>40</v>
      </c>
      <c r="C8" s="56">
        <f>'Assumptions (v4)'!C58</f>
        <v>30</v>
      </c>
      <c r="D8" s="56">
        <f>'Assumptions (v4)'!C58</f>
        <v>30</v>
      </c>
      <c r="E8" s="56">
        <f>'Assumptions (v4)'!C58</f>
        <v>30</v>
      </c>
    </row>
    <row r="9" spans="1:5" x14ac:dyDescent="0.25">
      <c r="A9" s="46" t="s">
        <v>41</v>
      </c>
      <c r="C9" s="56">
        <f>-'Assumptions (v4)'!D73</f>
        <v>0</v>
      </c>
      <c r="D9" s="56">
        <f>-'Assumptions (v4)'!E73</f>
        <v>0</v>
      </c>
      <c r="E9" s="56">
        <f>-'Assumptions (v4)'!F73</f>
        <v>0</v>
      </c>
    </row>
    <row r="11" spans="1:5" x14ac:dyDescent="0.25">
      <c r="A11" s="47" t="s">
        <v>42</v>
      </c>
      <c r="C11" s="55">
        <f>SUM(C6:C9)</f>
        <v>280</v>
      </c>
      <c r="D11" s="55">
        <f>SUM(D6:D9)</f>
        <v>480</v>
      </c>
      <c r="E11" s="55">
        <f>SUM(E6:E9)</f>
        <v>480</v>
      </c>
    </row>
    <row r="13" spans="1:5" x14ac:dyDescent="0.25">
      <c r="A13" s="47" t="s">
        <v>43</v>
      </c>
    </row>
    <row r="14" spans="1:5" x14ac:dyDescent="0.25">
      <c r="A14" s="46" t="s">
        <v>44</v>
      </c>
      <c r="C14" s="56">
        <f>'Assumptions (v4)'!D23</f>
        <v>400</v>
      </c>
      <c r="D14" s="56">
        <f>'Assumptions (v4)'!E23</f>
        <v>400</v>
      </c>
      <c r="E14" s="56">
        <f>'Assumptions (v4)'!F23</f>
        <v>400</v>
      </c>
    </row>
    <row r="15" spans="1:5" x14ac:dyDescent="0.25">
      <c r="A15" s="47" t="s">
        <v>45</v>
      </c>
      <c r="C15" s="56">
        <f>'Assumptions (v4)'!D24</f>
        <v>50</v>
      </c>
      <c r="D15" s="56">
        <f>'Assumptions (v4)'!E24</f>
        <v>50</v>
      </c>
      <c r="E15" s="56">
        <f>'Assumptions (v4)'!F24</f>
        <v>50</v>
      </c>
    </row>
    <row r="17" spans="1:5" x14ac:dyDescent="0.25">
      <c r="A17" s="3" t="s">
        <v>237</v>
      </c>
      <c r="C17" s="55">
        <f>-(C14+C15)</f>
        <v>-450</v>
      </c>
      <c r="D17" s="55">
        <f>-(D14+D15)</f>
        <v>-450</v>
      </c>
      <c r="E17" s="55">
        <f>-(E14+E15)</f>
        <v>-450</v>
      </c>
    </row>
    <row r="18" spans="1:5" x14ac:dyDescent="0.25">
      <c r="A18" s="97" t="s">
        <v>228</v>
      </c>
      <c r="C18" s="99">
        <f>'Assumptions (v4)'!D72</f>
        <v>-162.87246505694338</v>
      </c>
      <c r="D18" s="99">
        <f>'Assumptions (v4)'!E72</f>
        <v>0</v>
      </c>
      <c r="E18" s="99">
        <f>'Assumptions (v4)'!F72</f>
        <v>0</v>
      </c>
    </row>
    <row r="19" spans="1:5" x14ac:dyDescent="0.25">
      <c r="A19" s="3"/>
      <c r="C19" s="37"/>
      <c r="D19" s="37"/>
      <c r="E19" s="37"/>
    </row>
    <row r="20" spans="1:5" x14ac:dyDescent="0.25">
      <c r="A20" s="3" t="s">
        <v>46</v>
      </c>
      <c r="C20" s="37">
        <f>C17+C18</f>
        <v>-612.87246505694338</v>
      </c>
      <c r="D20" s="37">
        <f>D17+D18</f>
        <v>-450</v>
      </c>
      <c r="E20" s="37">
        <f>E17+E18</f>
        <v>-450</v>
      </c>
    </row>
    <row r="21" spans="1:5" x14ac:dyDescent="0.25">
      <c r="A21" s="77"/>
      <c r="B21" s="22"/>
      <c r="C21" s="78"/>
      <c r="D21" s="78"/>
      <c r="E21" s="78"/>
    </row>
    <row r="22" spans="1:5" x14ac:dyDescent="0.25">
      <c r="A22" s="21" t="s">
        <v>47</v>
      </c>
      <c r="B22" s="22"/>
      <c r="C22" s="38">
        <f>C11+C20</f>
        <v>-332.87246505694338</v>
      </c>
      <c r="D22" s="38">
        <f>D11+D20</f>
        <v>30</v>
      </c>
      <c r="E22" s="38">
        <f>E11+E20</f>
        <v>30</v>
      </c>
    </row>
    <row r="23" spans="1:5" x14ac:dyDescent="0.25">
      <c r="A23" s="47" t="s">
        <v>131</v>
      </c>
    </row>
    <row r="24" spans="1:5" x14ac:dyDescent="0.25">
      <c r="A24" s="46" t="s">
        <v>132</v>
      </c>
      <c r="C24" s="56">
        <f>-'Assumptions (v4)'!D50</f>
        <v>-27.750910332271246</v>
      </c>
      <c r="D24" s="56">
        <f>-'Assumptions (v4)'!E50</f>
        <v>-29.920184835118675</v>
      </c>
      <c r="E24" s="56">
        <f>-'Assumptions (v4)'!F50</f>
        <v>-13.106796116504825</v>
      </c>
    </row>
    <row r="25" spans="1:5" x14ac:dyDescent="0.25">
      <c r="A25" s="46" t="s">
        <v>117</v>
      </c>
      <c r="C25" s="56">
        <f>-'Assumptions (v4)'!D51</f>
        <v>0</v>
      </c>
      <c r="D25" s="56">
        <f>-'Assumptions (v4)'!E51</f>
        <v>0</v>
      </c>
      <c r="E25" s="56">
        <f>-'Assumptions (v4)'!F51</f>
        <v>0</v>
      </c>
    </row>
    <row r="26" spans="1:5" x14ac:dyDescent="0.25">
      <c r="A26" s="46" t="s">
        <v>141</v>
      </c>
      <c r="C26" s="56">
        <f>-'Assumptions (v4)'!D69</f>
        <v>-6.3496436591618624</v>
      </c>
      <c r="D26" s="56">
        <f>-'Assumptions (v4)'!E69</f>
        <v>0</v>
      </c>
      <c r="E26" s="56">
        <f>-'Assumptions (v4)'!F69</f>
        <v>0</v>
      </c>
    </row>
    <row r="27" spans="1:5" x14ac:dyDescent="0.25">
      <c r="A27" s="47" t="s">
        <v>133</v>
      </c>
      <c r="C27" s="55">
        <f>SUM(C24:C26)</f>
        <v>-34.10055399143311</v>
      </c>
      <c r="D27" s="55">
        <f>SUM(D24:D26)</f>
        <v>-29.920184835118675</v>
      </c>
      <c r="E27" s="55">
        <f>SUM(E24:E26)</f>
        <v>-13.106796116504825</v>
      </c>
    </row>
    <row r="29" spans="1:5" x14ac:dyDescent="0.25">
      <c r="A29" s="39" t="s">
        <v>134</v>
      </c>
      <c r="B29" s="40"/>
      <c r="C29" s="41">
        <f>C22+C27</f>
        <v>-366.9730190483765</v>
      </c>
      <c r="D29" s="41">
        <f>D22+D27</f>
        <v>7.9815164881324563E-2</v>
      </c>
      <c r="E29" s="41">
        <f>E22+E27</f>
        <v>16.893203883495175</v>
      </c>
    </row>
    <row r="31" spans="1:5" x14ac:dyDescent="0.25">
      <c r="A31" s="47" t="s">
        <v>49</v>
      </c>
      <c r="C31" s="55">
        <f>C29</f>
        <v>-366.9730190483765</v>
      </c>
      <c r="D31" s="55">
        <f>C31+D29</f>
        <v>-366.89320388349518</v>
      </c>
      <c r="E31" s="55">
        <f>D31+E29</f>
        <v>-350</v>
      </c>
    </row>
    <row r="33" spans="1:5" x14ac:dyDescent="0.25">
      <c r="A33" s="64" t="s">
        <v>52</v>
      </c>
    </row>
    <row r="34" spans="1:5" x14ac:dyDescent="0.25">
      <c r="A34" s="46" t="s">
        <v>53</v>
      </c>
      <c r="C34" s="80">
        <f>'Assumptions (v4)'!D25</f>
        <v>450</v>
      </c>
      <c r="D34" s="80">
        <f>'Assumptions (v4)'!E25</f>
        <v>450</v>
      </c>
      <c r="E34" s="80">
        <f>'Assumptions (v4)'!F25</f>
        <v>450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591A5-831E-4105-95C5-D085EA882C56}">
  <dimension ref="A1:E23"/>
  <sheetViews>
    <sheetView workbookViewId="0">
      <selection activeCell="F41" sqref="F41"/>
    </sheetView>
  </sheetViews>
  <sheetFormatPr defaultRowHeight="15" x14ac:dyDescent="0.25"/>
  <cols>
    <col min="1" max="1" width="53.28515625" customWidth="1"/>
    <col min="2" max="5" width="19" customWidth="1"/>
  </cols>
  <sheetData>
    <row r="1" spans="1:5" ht="18.75" x14ac:dyDescent="0.3">
      <c r="A1" s="44" t="s">
        <v>20</v>
      </c>
    </row>
    <row r="2" spans="1:5" x14ac:dyDescent="0.25">
      <c r="A2" s="2" t="s">
        <v>217</v>
      </c>
    </row>
    <row r="4" spans="1:5" x14ac:dyDescent="0.25">
      <c r="B4" s="62">
        <v>45658</v>
      </c>
      <c r="C4" s="62">
        <v>46022</v>
      </c>
      <c r="D4" s="62">
        <v>46387</v>
      </c>
      <c r="E4" s="62">
        <v>46752</v>
      </c>
    </row>
    <row r="5" spans="1:5" x14ac:dyDescent="0.25">
      <c r="A5" s="47" t="s">
        <v>25</v>
      </c>
    </row>
    <row r="6" spans="1:5" x14ac:dyDescent="0.25">
      <c r="A6" s="46" t="s">
        <v>26</v>
      </c>
      <c r="B6" s="56">
        <f>'Assumptions (v4)'!C9</f>
        <v>1000</v>
      </c>
      <c r="C6" s="56">
        <f>B6-'P&amp;L (v4)'!C34</f>
        <v>550</v>
      </c>
      <c r="D6" s="56">
        <f>C6-'P&amp;L (v4)'!D34</f>
        <v>100</v>
      </c>
      <c r="E6" s="56">
        <f>D6-'P&amp;L (v4)'!E34</f>
        <v>-350</v>
      </c>
    </row>
    <row r="7" spans="1:5" x14ac:dyDescent="0.25">
      <c r="A7" s="47" t="s">
        <v>27</v>
      </c>
      <c r="B7" s="55">
        <f>B6</f>
        <v>1000</v>
      </c>
      <c r="C7" s="55">
        <f>C6</f>
        <v>550</v>
      </c>
      <c r="D7" s="55">
        <f>D6</f>
        <v>100</v>
      </c>
      <c r="E7" s="55">
        <f>E6</f>
        <v>-350</v>
      </c>
    </row>
    <row r="8" spans="1:5" x14ac:dyDescent="0.25">
      <c r="C8">
        <f>C6</f>
        <v>550</v>
      </c>
      <c r="D8">
        <f>D6</f>
        <v>100</v>
      </c>
      <c r="E8">
        <f>E6</f>
        <v>-350</v>
      </c>
    </row>
    <row r="9" spans="1:5" x14ac:dyDescent="0.25">
      <c r="A9" s="47" t="s">
        <v>28</v>
      </c>
    </row>
    <row r="10" spans="1:5" x14ac:dyDescent="0.25">
      <c r="A10" s="47" t="s">
        <v>29</v>
      </c>
    </row>
    <row r="11" spans="1:5" x14ac:dyDescent="0.25">
      <c r="A11" s="47" t="s">
        <v>80</v>
      </c>
      <c r="B11" s="56">
        <f>'Assumptions (v4)'!G38</f>
        <v>698.34521136127125</v>
      </c>
      <c r="C11" s="56">
        <f>'Assumptions (v4)'!G40</f>
        <v>856.9730190483765</v>
      </c>
      <c r="D11" s="56">
        <f>'Assumptions (v4)'!G41</f>
        <v>436.89320388349518</v>
      </c>
      <c r="E11" s="56">
        <f>'Assumptions (v4)'!G42</f>
        <v>0</v>
      </c>
    </row>
    <row r="12" spans="1:5" x14ac:dyDescent="0.25">
      <c r="A12" s="47" t="s">
        <v>30</v>
      </c>
      <c r="B12" s="56">
        <f>'Assumptions (v4)'!C62</f>
        <v>90</v>
      </c>
      <c r="C12" s="56">
        <f>B12-'P&amp;L (v4)'!C8</f>
        <v>60</v>
      </c>
      <c r="D12" s="56">
        <f>C12-'P&amp;L (v4)'!D8</f>
        <v>30</v>
      </c>
      <c r="E12" s="56">
        <f>D12-'P&amp;L (v4)'!E8</f>
        <v>0</v>
      </c>
    </row>
    <row r="13" spans="1:5" x14ac:dyDescent="0.25">
      <c r="A13" s="47" t="s">
        <v>81</v>
      </c>
      <c r="B13" s="55">
        <f>B11+B12</f>
        <v>788.34521136127125</v>
      </c>
      <c r="C13" s="55">
        <f>C11+C12</f>
        <v>916.9730190483765</v>
      </c>
      <c r="D13" s="55">
        <f>D11+D12</f>
        <v>466.89320388349518</v>
      </c>
      <c r="E13" s="55">
        <f>E11+E12</f>
        <v>0</v>
      </c>
    </row>
    <row r="14" spans="1:5" x14ac:dyDescent="0.25">
      <c r="A14" s="47" t="s">
        <v>31</v>
      </c>
      <c r="B14" s="56">
        <f>'Assumptions (v4)'!C64</f>
        <v>211.65478863872875</v>
      </c>
      <c r="C14" s="56">
        <f>'Assumptions (v4)'!D75</f>
        <v>0</v>
      </c>
      <c r="D14" s="56">
        <f>'Assumptions (v4)'!E75</f>
        <v>0</v>
      </c>
      <c r="E14" s="56">
        <f>'Assumptions (v4)'!F75</f>
        <v>0</v>
      </c>
    </row>
    <row r="15" spans="1:5" x14ac:dyDescent="0.25">
      <c r="A15" s="100" t="s">
        <v>229</v>
      </c>
      <c r="B15" s="99">
        <v>0</v>
      </c>
      <c r="C15" s="99">
        <f>'Assumptions (v4)'!D82</f>
        <v>162.87246505694338</v>
      </c>
      <c r="D15" s="99">
        <f>'Assumptions (v4)'!E82</f>
        <v>77.347474600403558</v>
      </c>
      <c r="E15" s="99">
        <f>'Assumptions (v4)'!F82</f>
        <v>0</v>
      </c>
    </row>
    <row r="16" spans="1:5" x14ac:dyDescent="0.25">
      <c r="A16" s="47" t="s">
        <v>32</v>
      </c>
      <c r="B16" s="55">
        <f>B13+B14</f>
        <v>1000</v>
      </c>
      <c r="C16" s="55">
        <f>C13+C14</f>
        <v>916.9730190483765</v>
      </c>
      <c r="D16" s="55">
        <f>D13+D14</f>
        <v>466.89320388349518</v>
      </c>
      <c r="E16" s="55">
        <f>E13+E14</f>
        <v>0</v>
      </c>
    </row>
    <row r="17" spans="1:5" x14ac:dyDescent="0.25">
      <c r="A17" s="47" t="s">
        <v>33</v>
      </c>
      <c r="B17" s="55">
        <f>B16</f>
        <v>1000</v>
      </c>
      <c r="C17" s="55">
        <f>C16</f>
        <v>916.9730190483765</v>
      </c>
      <c r="D17" s="55">
        <f>D16</f>
        <v>466.89320388349518</v>
      </c>
      <c r="E17" s="55">
        <f>E16</f>
        <v>0</v>
      </c>
    </row>
    <row r="19" spans="1:5" x14ac:dyDescent="0.25">
      <c r="A19" s="47" t="s">
        <v>34</v>
      </c>
    </row>
    <row r="20" spans="1:5" x14ac:dyDescent="0.25">
      <c r="A20" s="47" t="s">
        <v>35</v>
      </c>
      <c r="B20" s="56">
        <v>0</v>
      </c>
      <c r="C20" s="56">
        <f>B20+'P&amp;L (v4)'!C29</f>
        <v>-366.9730190483765</v>
      </c>
      <c r="D20" s="56">
        <f>C20+'P&amp;L (v4)'!D29</f>
        <v>-366.89320388349518</v>
      </c>
      <c r="E20" s="56">
        <f>D20+'P&amp;L (v4)'!E29</f>
        <v>-350</v>
      </c>
    </row>
    <row r="21" spans="1:5" x14ac:dyDescent="0.25">
      <c r="A21" s="47" t="s">
        <v>36</v>
      </c>
      <c r="B21" s="55">
        <f>B20</f>
        <v>0</v>
      </c>
      <c r="C21" s="55">
        <f>C20</f>
        <v>-366.9730190483765</v>
      </c>
      <c r="D21" s="55">
        <f>D20</f>
        <v>-366.89320388349518</v>
      </c>
      <c r="E21" s="55">
        <f>E20</f>
        <v>-350</v>
      </c>
    </row>
    <row r="23" spans="1:5" x14ac:dyDescent="0.25">
      <c r="A23" s="50" t="s">
        <v>37</v>
      </c>
      <c r="B23" t="str">
        <f>IF(ABS(B7-B17-B21)&lt;0.01,"✅ Balanced","❌ "&amp;TEXT(B7-B17-B21,"#,##0.00"))</f>
        <v>✅ Balanced</v>
      </c>
      <c r="C23" t="str">
        <f>IF(ABS(C7-C17-C21)&lt;0.01,"✅ Balanced","❌ "&amp;TEXT(C7-C17-C21,"#,##0.00"))</f>
        <v>✅ Balanced</v>
      </c>
      <c r="D23" t="str">
        <f>IF(ABS(D7-D17-D21)&lt;0.01,"✅ Balanced","❌ "&amp;TEXT(D7-D17-D21,"#,##0.00"))</f>
        <v>✅ Balanced</v>
      </c>
      <c r="E23" t="str">
        <f>IF(ABS(E7-E17-E21)&lt;0.01,"✅ Balanced","❌ "&amp;TEXT(E7-E17-E21,"#,##0.00"))</f>
        <v>✅ Balanced</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89B6-BB6B-482D-9317-8E05B4E05A16}">
  <dimension ref="A1:E42"/>
  <sheetViews>
    <sheetView workbookViewId="0">
      <selection activeCell="I18" sqref="I18"/>
    </sheetView>
  </sheetViews>
  <sheetFormatPr defaultRowHeight="15" x14ac:dyDescent="0.25"/>
  <cols>
    <col min="1" max="1" width="53.28515625" customWidth="1"/>
    <col min="3" max="5" width="17.140625" customWidth="1"/>
  </cols>
  <sheetData>
    <row r="1" spans="1:5" ht="18.75" x14ac:dyDescent="0.3">
      <c r="A1" s="44" t="s">
        <v>54</v>
      </c>
    </row>
    <row r="2" spans="1:5" x14ac:dyDescent="0.25">
      <c r="A2" s="45" t="s">
        <v>55</v>
      </c>
    </row>
    <row r="4" spans="1:5" x14ac:dyDescent="0.25">
      <c r="C4" s="62">
        <v>46022</v>
      </c>
      <c r="D4" s="62">
        <v>46387</v>
      </c>
      <c r="E4" s="62">
        <v>46752</v>
      </c>
    </row>
    <row r="6" spans="1:5" x14ac:dyDescent="0.25">
      <c r="A6" s="47" t="s">
        <v>56</v>
      </c>
      <c r="C6" s="52">
        <f>'Balance Sheet (v4)'!B6</f>
        <v>1000</v>
      </c>
      <c r="D6" s="52">
        <f>'Balance Sheet (v4)'!C6</f>
        <v>550</v>
      </c>
      <c r="E6" s="52">
        <f>'Balance Sheet (v4)'!D6</f>
        <v>100</v>
      </c>
    </row>
    <row r="8" spans="1:5" x14ac:dyDescent="0.25">
      <c r="A8" s="47" t="s">
        <v>57</v>
      </c>
    </row>
    <row r="9" spans="1:5" x14ac:dyDescent="0.25">
      <c r="A9" s="46" t="s">
        <v>158</v>
      </c>
      <c r="C9" s="53">
        <f>-'Assumptions (v4)'!D23</f>
        <v>-400</v>
      </c>
      <c r="D9" s="53">
        <f>-'Assumptions (v4)'!E23</f>
        <v>-400</v>
      </c>
      <c r="E9" s="53">
        <f>-'Assumptions (v4)'!F23</f>
        <v>-400</v>
      </c>
    </row>
    <row r="10" spans="1:5" x14ac:dyDescent="0.25">
      <c r="A10" s="47" t="s">
        <v>159</v>
      </c>
      <c r="C10" s="53">
        <f>-'Assumptions (v4)'!D24</f>
        <v>-50</v>
      </c>
      <c r="D10" s="53">
        <f>-'Assumptions (v4)'!E24</f>
        <v>-50</v>
      </c>
      <c r="E10" s="53">
        <f>-'Assumptions (v4)'!F24</f>
        <v>-50</v>
      </c>
    </row>
    <row r="11" spans="1:5" ht="15.75" thickBot="1" x14ac:dyDescent="0.3">
      <c r="A11" s="47" t="s">
        <v>60</v>
      </c>
      <c r="C11" s="57">
        <f>SUM(C9:C10)</f>
        <v>-450</v>
      </c>
      <c r="D11" s="57">
        <f>SUM(D9:D10)</f>
        <v>-450</v>
      </c>
      <c r="E11" s="57">
        <f>SUM(E9:E10)</f>
        <v>-450</v>
      </c>
    </row>
    <row r="12" spans="1:5" ht="15.75" thickTop="1" x14ac:dyDescent="0.25"/>
    <row r="13" spans="1:5" ht="15.75" thickBot="1" x14ac:dyDescent="0.3">
      <c r="A13" s="47" t="s">
        <v>61</v>
      </c>
      <c r="C13" s="58">
        <f>C6+C11</f>
        <v>550</v>
      </c>
      <c r="D13" s="58">
        <f>D6+D11</f>
        <v>100</v>
      </c>
      <c r="E13" s="58">
        <f>E6+E11</f>
        <v>-350</v>
      </c>
    </row>
    <row r="14" spans="1:5" ht="15.75" thickTop="1" x14ac:dyDescent="0.25"/>
    <row r="15" spans="1:5" x14ac:dyDescent="0.25">
      <c r="A15" s="50" t="s">
        <v>62</v>
      </c>
      <c r="C15" s="47" t="str">
        <f>IF(ABS(C13-'Balance Sheet (v4)'!C6)&lt;0.01,"✅ Ties","❌ "&amp;TEXT(C13-'Balance Sheet (v4)'!C6,"#,##0.00"))</f>
        <v>✅ Ties</v>
      </c>
      <c r="D15" s="47" t="str">
        <f>IF(ABS(D13-'Balance Sheet (v4)'!D6)&lt;0.01,"✅ Ties","❌ "&amp;TEXT(D13-'Balance Sheet (v4)'!D6,"#,##0.00"))</f>
        <v>✅ Ties</v>
      </c>
      <c r="E15" s="47" t="str">
        <f>IF(ABS(E13-'Balance Sheet (v4)'!E6)&lt;0.01,"✅ Ties","❌ "&amp;TEXT(E13-'Balance Sheet (v4)'!E6,"#,##0.00"))</f>
        <v>✅ Ties</v>
      </c>
    </row>
    <row r="18" spans="1:5" ht="15.75" x14ac:dyDescent="0.25">
      <c r="A18" s="51" t="s">
        <v>63</v>
      </c>
    </row>
    <row r="19" spans="1:5" x14ac:dyDescent="0.25">
      <c r="A19" s="45" t="s">
        <v>64</v>
      </c>
    </row>
    <row r="20" spans="1:5" x14ac:dyDescent="0.25">
      <c r="C20" s="49" t="s">
        <v>22</v>
      </c>
      <c r="D20" s="49" t="s">
        <v>23</v>
      </c>
      <c r="E20" s="49" t="s">
        <v>24</v>
      </c>
    </row>
    <row r="22" spans="1:5" x14ac:dyDescent="0.25">
      <c r="A22" s="47" t="s">
        <v>65</v>
      </c>
      <c r="C22" s="55">
        <f>'Balance Sheet (v4)'!B16</f>
        <v>1000</v>
      </c>
      <c r="D22" s="55">
        <f>'Balance Sheet (v4)'!C16</f>
        <v>916.9730190483765</v>
      </c>
      <c r="E22" s="55">
        <f>'Balance Sheet (v4)'!D16</f>
        <v>466.89320388349518</v>
      </c>
    </row>
    <row r="24" spans="1:5" x14ac:dyDescent="0.25">
      <c r="A24" s="47" t="s">
        <v>66</v>
      </c>
    </row>
    <row r="25" spans="1:5" x14ac:dyDescent="0.25">
      <c r="A25" s="46" t="s">
        <v>79</v>
      </c>
      <c r="C25" s="56">
        <f>-('P&amp;L (v4)'!C6+'P&amp;L (v4)'!C7)</f>
        <v>-250</v>
      </c>
      <c r="D25" s="56">
        <f>-('P&amp;L (v4)'!D6+'P&amp;L (v4)'!D7)</f>
        <v>-450</v>
      </c>
      <c r="E25" s="56">
        <f>-('P&amp;L (v4)'!E6+'P&amp;L (v4)'!E7)</f>
        <v>-450</v>
      </c>
    </row>
    <row r="26" spans="1:5" x14ac:dyDescent="0.25">
      <c r="A26" s="47" t="s">
        <v>40</v>
      </c>
      <c r="C26" s="56">
        <f>-'P&amp;L (v4)'!C8</f>
        <v>-30</v>
      </c>
      <c r="D26" s="56">
        <f>-'P&amp;L (v4)'!D8</f>
        <v>-30</v>
      </c>
      <c r="E26" s="56">
        <f>-'P&amp;L (v4)'!E8</f>
        <v>-30</v>
      </c>
    </row>
    <row r="27" spans="1:5" x14ac:dyDescent="0.25">
      <c r="A27" s="46" t="s">
        <v>67</v>
      </c>
      <c r="C27" s="56">
        <f>-'P&amp;L (v4)'!C9</f>
        <v>0</v>
      </c>
      <c r="D27" s="56">
        <f>-'P&amp;L (v4)'!D9</f>
        <v>0</v>
      </c>
      <c r="E27" s="56">
        <f>-'P&amp;L (v4)'!E9</f>
        <v>0</v>
      </c>
    </row>
    <row r="28" spans="1:5" ht="15.75" thickBot="1" x14ac:dyDescent="0.3">
      <c r="A28" s="47" t="s">
        <v>136</v>
      </c>
      <c r="C28" s="60">
        <f>SUM(C25:C27)</f>
        <v>-280</v>
      </c>
      <c r="D28" s="60">
        <f>SUM(D25:D27)</f>
        <v>-480</v>
      </c>
      <c r="E28" s="60">
        <f>SUM(E25:E27)</f>
        <v>-480</v>
      </c>
    </row>
    <row r="29" spans="1:5" ht="15.75" thickTop="1" x14ac:dyDescent="0.25"/>
    <row r="30" spans="1:5" x14ac:dyDescent="0.25">
      <c r="A30" s="47" t="s">
        <v>137</v>
      </c>
    </row>
    <row r="31" spans="1:5" x14ac:dyDescent="0.25">
      <c r="A31" s="46" t="s">
        <v>180</v>
      </c>
      <c r="C31" s="56">
        <f>'Assumptions (v4)'!D50</f>
        <v>27.750910332271246</v>
      </c>
      <c r="D31" s="56">
        <f>'Assumptions (v4)'!E50</f>
        <v>29.920184835118675</v>
      </c>
      <c r="E31" s="56">
        <f>'Assumptions (v4)'!F50</f>
        <v>13.106796116504825</v>
      </c>
    </row>
    <row r="32" spans="1:5" x14ac:dyDescent="0.25">
      <c r="A32" s="47" t="s">
        <v>117</v>
      </c>
      <c r="C32" s="56">
        <f>'Assumptions (v4)'!D51</f>
        <v>0</v>
      </c>
      <c r="D32" s="56">
        <f>'Assumptions (v4)'!E51</f>
        <v>0</v>
      </c>
      <c r="E32" s="56">
        <f>'Assumptions (v4)'!F51</f>
        <v>0</v>
      </c>
    </row>
    <row r="33" spans="1:5" x14ac:dyDescent="0.25">
      <c r="A33" s="46" t="s">
        <v>139</v>
      </c>
      <c r="C33" s="56">
        <f>'Assumptions (v4)'!D69</f>
        <v>6.3496436591618624</v>
      </c>
      <c r="D33" s="56">
        <f>'Assumptions (v4)'!E69</f>
        <v>0</v>
      </c>
      <c r="E33" s="56">
        <f>'Assumptions (v4)'!F69</f>
        <v>0</v>
      </c>
    </row>
    <row r="34" spans="1:5" x14ac:dyDescent="0.25">
      <c r="A34" s="47" t="s">
        <v>140</v>
      </c>
      <c r="C34" s="59">
        <f>SUM(C31:C33)</f>
        <v>34.10055399143311</v>
      </c>
      <c r="D34" s="59">
        <f>SUM(D31:D33)</f>
        <v>29.920184835118675</v>
      </c>
      <c r="E34" s="59">
        <f>SUM(E31:E33)</f>
        <v>13.106796116504825</v>
      </c>
    </row>
    <row r="36" spans="1:5" x14ac:dyDescent="0.25">
      <c r="A36" s="39" t="s">
        <v>230</v>
      </c>
      <c r="C36" s="41">
        <f>'Assumptions (v4)'!D52</f>
        <v>380.876897354834</v>
      </c>
      <c r="D36" s="41">
        <f>'Assumptions (v4)'!E52</f>
        <v>0</v>
      </c>
      <c r="E36" s="41">
        <f>'Assumptions (v4)'!F52</f>
        <v>0</v>
      </c>
    </row>
    <row r="37" spans="1:5" x14ac:dyDescent="0.25">
      <c r="A37" s="39" t="s">
        <v>231</v>
      </c>
      <c r="C37" s="41">
        <f>'Assumptions (v4)'!D70</f>
        <v>-380.876897354834</v>
      </c>
      <c r="D37" s="36">
        <f>'Assumptions (v4)'!E70</f>
        <v>0</v>
      </c>
      <c r="E37" s="36">
        <f>'Assumptions (v4)'!F70</f>
        <v>0</v>
      </c>
    </row>
    <row r="38" spans="1:5" x14ac:dyDescent="0.25">
      <c r="A38" s="97" t="s">
        <v>232</v>
      </c>
      <c r="C38" s="99">
        <f>-'Assumptions (v4)'!D72</f>
        <v>162.87246505694338</v>
      </c>
      <c r="D38" s="99">
        <f>-'Assumptions (v4)'!E72</f>
        <v>0</v>
      </c>
      <c r="E38" s="99">
        <f>-'Assumptions (v4)'!F72</f>
        <v>0</v>
      </c>
    </row>
    <row r="40" spans="1:5" ht="15.75" thickBot="1" x14ac:dyDescent="0.3">
      <c r="A40" s="47" t="s">
        <v>69</v>
      </c>
      <c r="C40" s="60">
        <f>C22+C28+C34+C36+C37+C38</f>
        <v>916.9730190483765</v>
      </c>
      <c r="D40" s="60">
        <f>D22+D28+D34+D36+D37+D38</f>
        <v>466.89320388349518</v>
      </c>
      <c r="E40" s="60">
        <f>E22+E28+E34+E36+E37+E38</f>
        <v>0</v>
      </c>
    </row>
    <row r="41" spans="1:5" ht="15.75" thickTop="1" x14ac:dyDescent="0.25"/>
    <row r="42" spans="1:5" x14ac:dyDescent="0.25">
      <c r="A42" s="50" t="s">
        <v>62</v>
      </c>
      <c r="C42" s="47" t="str">
        <f>IF(ABS(C40-'Balance Sheet (v4)'!C16)&lt;0.01,"✅ Ties","❌ "&amp;TEXT(C40-'Balance Sheet (v4)'!C16,"#,##0.00"))</f>
        <v>✅ Ties</v>
      </c>
      <c r="D42" s="47" t="str">
        <f>IF(ABS(D40-'Balance Sheet (v4)'!D16)&lt;0.01,"✅ Ties","❌ "&amp;TEXT(D40-'Balance Sheet (v4)'!D16,"#,##0.00"))</f>
        <v>✅ Ties</v>
      </c>
      <c r="E42" s="47" t="str">
        <f>IF(ABS(E40-'Balance Sheet (v4)'!E16)&lt;0.01,"✅ Ties","❌ "&amp;TEXT(E40-'Balance Sheet (v4)'!E16,"#,##0.00"))</f>
        <v>✅ Ties</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231D-815A-4D0E-B2CA-F65BFC2BBE35}">
  <sheetPr>
    <tabColor rgb="FF7030A0"/>
  </sheetPr>
  <dimension ref="A1:A3"/>
  <sheetViews>
    <sheetView workbookViewId="0">
      <selection activeCell="Q23" sqref="Q23"/>
    </sheetView>
  </sheetViews>
  <sheetFormatPr defaultRowHeight="15" x14ac:dyDescent="0.25"/>
  <sheetData>
    <row r="1" spans="1:1" ht="18.75" x14ac:dyDescent="0.3">
      <c r="A1" s="44" t="s">
        <v>336</v>
      </c>
    </row>
    <row r="3" spans="1:1" x14ac:dyDescent="0.25">
      <c r="A3" s="45" t="s">
        <v>337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0C869-32FA-4528-A37F-1431667691BC}">
  <dimension ref="A1:G106"/>
  <sheetViews>
    <sheetView workbookViewId="0">
      <selection activeCell="C65" sqref="C65"/>
    </sheetView>
  </sheetViews>
  <sheetFormatPr defaultRowHeight="15" x14ac:dyDescent="0.25"/>
  <cols>
    <col min="1" max="1" width="53.28515625" customWidth="1"/>
    <col min="2" max="2" width="2.85546875" customWidth="1"/>
    <col min="3" max="8" width="18.140625" customWidth="1"/>
  </cols>
  <sheetData>
    <row r="1" spans="1:6" ht="18.75" x14ac:dyDescent="0.3">
      <c r="A1" s="1" t="s">
        <v>243</v>
      </c>
    </row>
    <row r="2" spans="1:6" x14ac:dyDescent="0.25">
      <c r="A2" s="104" t="s">
        <v>244</v>
      </c>
    </row>
    <row r="3" spans="1:6" x14ac:dyDescent="0.25">
      <c r="A3" s="2" t="s">
        <v>245</v>
      </c>
    </row>
    <row r="4" spans="1:6" x14ac:dyDescent="0.25">
      <c r="A4" s="2" t="s">
        <v>246</v>
      </c>
    </row>
    <row r="5" spans="1:6" x14ac:dyDescent="0.25">
      <c r="A5" s="2" t="s">
        <v>247</v>
      </c>
    </row>
    <row r="7" spans="1:6" x14ac:dyDescent="0.25">
      <c r="A7" s="4" t="s">
        <v>83</v>
      </c>
      <c r="B7" s="5"/>
      <c r="C7" s="5"/>
    </row>
    <row r="8" spans="1:6" x14ac:dyDescent="0.25">
      <c r="A8" t="s">
        <v>2</v>
      </c>
      <c r="C8" s="6">
        <v>3</v>
      </c>
    </row>
    <row r="9" spans="1:6" x14ac:dyDescent="0.25">
      <c r="A9" t="s">
        <v>7</v>
      </c>
      <c r="C9" s="11">
        <v>1000</v>
      </c>
    </row>
    <row r="11" spans="1:6" x14ac:dyDescent="0.25">
      <c r="A11" s="4" t="s">
        <v>84</v>
      </c>
      <c r="B11" s="5"/>
      <c r="C11" s="10" t="s">
        <v>5</v>
      </c>
      <c r="D11" s="61">
        <v>46022</v>
      </c>
      <c r="E11" s="61">
        <v>46387</v>
      </c>
      <c r="F11" s="61">
        <v>46752</v>
      </c>
    </row>
    <row r="12" spans="1:6" x14ac:dyDescent="0.25">
      <c r="A12" t="s">
        <v>8</v>
      </c>
      <c r="C12" s="11">
        <v>600</v>
      </c>
      <c r="D12" s="12">
        <f>C12/C8</f>
        <v>200</v>
      </c>
      <c r="E12" s="12">
        <f>C12/C8</f>
        <v>200</v>
      </c>
      <c r="F12" s="12">
        <f>C12/C8</f>
        <v>200</v>
      </c>
    </row>
    <row r="13" spans="1:6" x14ac:dyDescent="0.25">
      <c r="A13" t="s">
        <v>9</v>
      </c>
      <c r="C13" s="11">
        <v>150</v>
      </c>
      <c r="D13" s="12">
        <f>C13/C8</f>
        <v>50</v>
      </c>
      <c r="E13" s="12">
        <f>C13/C8</f>
        <v>50</v>
      </c>
      <c r="F13" s="12">
        <f>C13/C8</f>
        <v>50</v>
      </c>
    </row>
    <row r="14" spans="1:6" x14ac:dyDescent="0.25">
      <c r="A14" t="s">
        <v>85</v>
      </c>
      <c r="C14" s="13">
        <f>C12+C13</f>
        <v>750</v>
      </c>
      <c r="D14" s="13">
        <f>D12+D13</f>
        <v>250</v>
      </c>
      <c r="E14" s="13">
        <f>E12+E13</f>
        <v>250</v>
      </c>
      <c r="F14" s="13">
        <f>F12+F13</f>
        <v>250</v>
      </c>
    </row>
    <row r="15" spans="1:6" x14ac:dyDescent="0.25">
      <c r="A15" t="s">
        <v>86</v>
      </c>
      <c r="C15" s="11">
        <v>90</v>
      </c>
    </row>
    <row r="17" spans="1:7" x14ac:dyDescent="0.25">
      <c r="A17" s="4" t="s">
        <v>87</v>
      </c>
      <c r="B17" s="5"/>
      <c r="C17" s="5"/>
      <c r="D17" s="10" t="s">
        <v>88</v>
      </c>
      <c r="E17" s="10" t="s">
        <v>89</v>
      </c>
      <c r="F17" s="10" t="s">
        <v>90</v>
      </c>
    </row>
    <row r="18" spans="1:7" x14ac:dyDescent="0.25">
      <c r="A18" t="s">
        <v>91</v>
      </c>
      <c r="C18" s="33" t="s">
        <v>94</v>
      </c>
      <c r="D18" s="32">
        <v>0.03</v>
      </c>
      <c r="E18" s="32">
        <v>3.5000000000000003E-2</v>
      </c>
      <c r="F18" s="32">
        <v>0.04</v>
      </c>
    </row>
    <row r="19" spans="1:7" x14ac:dyDescent="0.25">
      <c r="A19" t="s">
        <v>92</v>
      </c>
      <c r="D19" s="32">
        <v>0.03</v>
      </c>
      <c r="E19" s="32">
        <v>3.5000000000000003E-2</v>
      </c>
      <c r="F19" s="32"/>
    </row>
    <row r="20" spans="1:7" x14ac:dyDescent="0.25">
      <c r="A20" t="s">
        <v>93</v>
      </c>
      <c r="D20" s="32">
        <v>0.03</v>
      </c>
      <c r="E20" s="32"/>
      <c r="F20" s="32"/>
    </row>
    <row r="22" spans="1:7" x14ac:dyDescent="0.25">
      <c r="A22" s="4" t="s">
        <v>95</v>
      </c>
      <c r="B22" s="5"/>
      <c r="C22" s="5"/>
      <c r="D22" s="10" t="s">
        <v>96</v>
      </c>
      <c r="E22" s="10" t="s">
        <v>97</v>
      </c>
      <c r="F22" s="10" t="s">
        <v>98</v>
      </c>
    </row>
    <row r="23" spans="1:7" x14ac:dyDescent="0.25">
      <c r="A23" t="s">
        <v>99</v>
      </c>
      <c r="D23" s="34">
        <f>1/(1+D18)^1</f>
        <v>0.970873786407767</v>
      </c>
      <c r="E23" s="34">
        <f>1/(1+E18)^2</f>
        <v>0.93351070036640305</v>
      </c>
      <c r="F23" s="34">
        <f>1/(1+F18)^3</f>
        <v>0.88899635867091487</v>
      </c>
    </row>
    <row r="24" spans="1:7" x14ac:dyDescent="0.25">
      <c r="A24" t="s">
        <v>100</v>
      </c>
      <c r="D24" s="34">
        <f>1/(1+D19)^1</f>
        <v>0.970873786407767</v>
      </c>
      <c r="E24" s="34">
        <f>1/(1+E19)^2</f>
        <v>0.93351070036640305</v>
      </c>
    </row>
    <row r="25" spans="1:7" x14ac:dyDescent="0.25">
      <c r="A25" t="s">
        <v>101</v>
      </c>
      <c r="D25" s="34">
        <f>1/(1+D20)^1</f>
        <v>0.970873786407767</v>
      </c>
    </row>
    <row r="27" spans="1:7" x14ac:dyDescent="0.25">
      <c r="A27" s="4" t="s">
        <v>102</v>
      </c>
      <c r="B27" s="5"/>
      <c r="C27" s="5"/>
      <c r="D27" s="35" t="s">
        <v>103</v>
      </c>
      <c r="E27" s="35" t="s">
        <v>104</v>
      </c>
      <c r="F27" s="35" t="s">
        <v>105</v>
      </c>
      <c r="G27" s="35" t="s">
        <v>106</v>
      </c>
    </row>
    <row r="28" spans="1:7" x14ac:dyDescent="0.25">
      <c r="A28" t="s">
        <v>107</v>
      </c>
      <c r="D28" s="36">
        <f>D14*D23</f>
        <v>242.71844660194176</v>
      </c>
      <c r="E28" s="36">
        <f>E14*E23</f>
        <v>233.37767509160076</v>
      </c>
      <c r="F28" s="36">
        <f>F14*F23</f>
        <v>222.24908966772873</v>
      </c>
      <c r="G28" s="37">
        <f>SUM(D28:F28)</f>
        <v>698.34521136127125</v>
      </c>
    </row>
    <row r="29" spans="1:7" x14ac:dyDescent="0.25">
      <c r="A29" t="s">
        <v>108</v>
      </c>
      <c r="D29" s="8"/>
      <c r="E29" s="36">
        <f>E14*D24</f>
        <v>242.71844660194176</v>
      </c>
      <c r="F29" s="36">
        <f>F14*E24</f>
        <v>233.37767509160076</v>
      </c>
      <c r="G29" s="37">
        <f>SUM(E29:F29)</f>
        <v>476.0961216935425</v>
      </c>
    </row>
    <row r="30" spans="1:7" x14ac:dyDescent="0.25">
      <c r="A30" t="s">
        <v>109</v>
      </c>
      <c r="D30" s="8"/>
      <c r="E30" s="8"/>
      <c r="F30" s="36">
        <f>F14*D25</f>
        <v>242.71844660194176</v>
      </c>
      <c r="G30" s="37">
        <f>F30</f>
        <v>242.71844660194176</v>
      </c>
    </row>
    <row r="31" spans="1:7" x14ac:dyDescent="0.25">
      <c r="A31" t="s">
        <v>110</v>
      </c>
      <c r="G31" s="37">
        <v>0</v>
      </c>
    </row>
    <row r="33" spans="1:7" x14ac:dyDescent="0.25">
      <c r="A33" t="s">
        <v>111</v>
      </c>
      <c r="E33" s="36">
        <f>E14*D23</f>
        <v>242.71844660194176</v>
      </c>
      <c r="F33" s="36">
        <f>F14*E23</f>
        <v>233.37767509160076</v>
      </c>
      <c r="G33" s="37">
        <f>SUM(E33:F33)</f>
        <v>476.0961216935425</v>
      </c>
    </row>
    <row r="34" spans="1:7" x14ac:dyDescent="0.25">
      <c r="A34" t="s">
        <v>112</v>
      </c>
      <c r="F34" s="36">
        <f>F14*D23</f>
        <v>242.71844660194176</v>
      </c>
      <c r="G34" s="37">
        <f>F34</f>
        <v>242.71844660194176</v>
      </c>
    </row>
    <row r="36" spans="1:7" x14ac:dyDescent="0.25">
      <c r="A36" s="4" t="s">
        <v>113</v>
      </c>
      <c r="B36" s="5"/>
      <c r="C36" s="5"/>
      <c r="D36" s="61">
        <v>46022</v>
      </c>
      <c r="E36" s="61">
        <v>46387</v>
      </c>
      <c r="F36" s="61">
        <v>46752</v>
      </c>
    </row>
    <row r="37" spans="1:7" x14ac:dyDescent="0.25">
      <c r="A37" t="s">
        <v>114</v>
      </c>
      <c r="D37" s="36">
        <f>G28</f>
        <v>698.34521136127125</v>
      </c>
      <c r="E37" s="36">
        <f>G29</f>
        <v>476.0961216935425</v>
      </c>
      <c r="F37" s="36">
        <f>G30</f>
        <v>242.71844660194176</v>
      </c>
    </row>
    <row r="38" spans="1:7" x14ac:dyDescent="0.25">
      <c r="A38" t="s">
        <v>115</v>
      </c>
      <c r="D38" s="36">
        <f>-D14</f>
        <v>-250</v>
      </c>
      <c r="E38" s="36">
        <f>-E14</f>
        <v>-250</v>
      </c>
      <c r="F38" s="36">
        <f>-F14</f>
        <v>-250</v>
      </c>
    </row>
    <row r="39" spans="1:7" x14ac:dyDescent="0.25">
      <c r="A39" t="s">
        <v>116</v>
      </c>
      <c r="D39" s="36">
        <f>G33-(G28-D14)</f>
        <v>27.750910332271246</v>
      </c>
      <c r="E39" s="36">
        <f>G34-(G29-E14)</f>
        <v>16.622324908399264</v>
      </c>
      <c r="F39" s="36">
        <f>G31-(G30-F14)</f>
        <v>7.2815533980582359</v>
      </c>
    </row>
    <row r="40" spans="1:7" x14ac:dyDescent="0.25">
      <c r="A40" t="s">
        <v>117</v>
      </c>
      <c r="D40" s="36">
        <f>G29-G33</f>
        <v>0</v>
      </c>
      <c r="E40" s="36">
        <f>G30-G34</f>
        <v>0</v>
      </c>
      <c r="F40" s="36">
        <v>0</v>
      </c>
    </row>
    <row r="41" spans="1:7" x14ac:dyDescent="0.25">
      <c r="A41" t="s">
        <v>118</v>
      </c>
      <c r="D41" s="37">
        <f>SUM(D37:D40)</f>
        <v>476.0961216935425</v>
      </c>
      <c r="E41" s="37">
        <f>SUM(E37:E40)</f>
        <v>242.71844660194176</v>
      </c>
      <c r="F41" s="37">
        <f>SUM(F37:F40)</f>
        <v>0</v>
      </c>
    </row>
    <row r="42" spans="1:7" x14ac:dyDescent="0.25">
      <c r="A42" s="23" t="s">
        <v>119</v>
      </c>
      <c r="D42" t="str">
        <f>IF(ABS(D41-G29)&lt;0.01,"✅","❌")</f>
        <v>✅</v>
      </c>
      <c r="E42" t="str">
        <f>IF(ABS(E41-G30)&lt;0.01,"✅","❌")</f>
        <v>✅</v>
      </c>
      <c r="F42" t="str">
        <f>IF(ABS(F41-G31)&lt;0.01,"✅","❌")</f>
        <v>✅</v>
      </c>
    </row>
    <row r="44" spans="1:7" x14ac:dyDescent="0.25">
      <c r="A44" s="4" t="s">
        <v>120</v>
      </c>
      <c r="B44" s="5"/>
      <c r="C44" s="5"/>
      <c r="D44" s="5"/>
      <c r="E44" s="5"/>
      <c r="F44" s="5"/>
    </row>
    <row r="45" spans="1:7" x14ac:dyDescent="0.25">
      <c r="A45" t="s">
        <v>121</v>
      </c>
      <c r="C45" s="36">
        <f>C15</f>
        <v>90</v>
      </c>
    </row>
    <row r="46" spans="1:7" x14ac:dyDescent="0.25">
      <c r="A46" t="s">
        <v>122</v>
      </c>
      <c r="C46" s="36">
        <f>C45/C8</f>
        <v>30</v>
      </c>
    </row>
    <row r="48" spans="1:7" x14ac:dyDescent="0.25">
      <c r="A48" s="4" t="s">
        <v>123</v>
      </c>
      <c r="B48" s="5"/>
      <c r="C48" s="5"/>
      <c r="D48" s="5"/>
    </row>
    <row r="49" spans="1:7" x14ac:dyDescent="0.25">
      <c r="A49" t="s">
        <v>124</v>
      </c>
      <c r="C49" s="36">
        <f>G28</f>
        <v>698.34521136127125</v>
      </c>
    </row>
    <row r="50" spans="1:7" x14ac:dyDescent="0.25">
      <c r="A50" t="s">
        <v>12</v>
      </c>
      <c r="C50" s="36">
        <f>C45</f>
        <v>90</v>
      </c>
    </row>
    <row r="51" spans="1:7" x14ac:dyDescent="0.25">
      <c r="A51" t="s">
        <v>81</v>
      </c>
      <c r="C51" s="37">
        <f>C49+C50</f>
        <v>788.34521136127125</v>
      </c>
    </row>
    <row r="52" spans="1:7" x14ac:dyDescent="0.25">
      <c r="A52" t="s">
        <v>13</v>
      </c>
      <c r="C52" s="37">
        <f>C9-C51</f>
        <v>211.65478863872875</v>
      </c>
    </row>
    <row r="53" spans="1:7" x14ac:dyDescent="0.25">
      <c r="A53" t="s">
        <v>14</v>
      </c>
      <c r="C53" s="37">
        <f>C51+C52</f>
        <v>1000</v>
      </c>
    </row>
    <row r="55" spans="1:7" x14ac:dyDescent="0.25">
      <c r="A55" s="4" t="s">
        <v>125</v>
      </c>
      <c r="B55" s="5"/>
      <c r="C55" s="5"/>
      <c r="D55" s="61">
        <v>46022</v>
      </c>
      <c r="E55" s="61">
        <v>46387</v>
      </c>
      <c r="F55" s="61">
        <v>46752</v>
      </c>
    </row>
    <row r="56" spans="1:7" x14ac:dyDescent="0.25">
      <c r="A56" t="s">
        <v>126</v>
      </c>
      <c r="D56" s="36">
        <f>C52</f>
        <v>211.65478863872875</v>
      </c>
      <c r="E56" s="36">
        <f>D60</f>
        <v>145.33628819859376</v>
      </c>
      <c r="F56" s="36">
        <f>E60</f>
        <v>74.848188422275783</v>
      </c>
    </row>
    <row r="57" spans="1:7" x14ac:dyDescent="0.25">
      <c r="A57" t="s">
        <v>127</v>
      </c>
      <c r="D57" s="36">
        <f>D56*D18</f>
        <v>6.3496436591618624</v>
      </c>
      <c r="E57" s="36">
        <f>E56*D18</f>
        <v>4.3600886459578128</v>
      </c>
      <c r="F57" s="36">
        <f>F56*D18</f>
        <v>2.2454456526682733</v>
      </c>
    </row>
    <row r="58" spans="1:7" x14ac:dyDescent="0.25">
      <c r="A58" s="9" t="s">
        <v>135</v>
      </c>
      <c r="D58" s="43">
        <v>0</v>
      </c>
      <c r="E58" s="43">
        <v>0</v>
      </c>
      <c r="F58" s="43">
        <v>0</v>
      </c>
    </row>
    <row r="59" spans="1:7" x14ac:dyDescent="0.25">
      <c r="A59" t="s">
        <v>128</v>
      </c>
      <c r="D59" s="36">
        <f>-(D56+D57+D58)/C8</f>
        <v>-72.668144099296867</v>
      </c>
      <c r="E59" s="36">
        <f>-(E56+E57+E58)/2</f>
        <v>-74.848188422275783</v>
      </c>
      <c r="F59" s="36">
        <f>-(F56+F57+F58)/1</f>
        <v>-77.093634074944049</v>
      </c>
    </row>
    <row r="60" spans="1:7" x14ac:dyDescent="0.25">
      <c r="A60" t="s">
        <v>129</v>
      </c>
      <c r="D60" s="37">
        <f>SUM(D56:D59)</f>
        <v>145.33628819859376</v>
      </c>
      <c r="E60" s="37">
        <f>SUM(E56:E59)</f>
        <v>74.848188422275783</v>
      </c>
      <c r="F60" s="37">
        <f>SUM(F56:F59)</f>
        <v>0</v>
      </c>
    </row>
    <row r="62" spans="1:7" x14ac:dyDescent="0.25">
      <c r="A62" s="4" t="s">
        <v>248</v>
      </c>
      <c r="B62" s="5"/>
      <c r="C62" s="5"/>
      <c r="D62" s="5"/>
      <c r="E62" s="5"/>
      <c r="F62" s="5"/>
      <c r="G62" s="5"/>
    </row>
    <row r="63" spans="1:7" x14ac:dyDescent="0.25">
      <c r="A63" t="s">
        <v>249</v>
      </c>
      <c r="C63" s="105">
        <v>0.2</v>
      </c>
    </row>
    <row r="64" spans="1:7" x14ac:dyDescent="0.25">
      <c r="A64" t="s">
        <v>250</v>
      </c>
      <c r="C64" s="36">
        <f>C9*C63</f>
        <v>200</v>
      </c>
    </row>
    <row r="66" spans="1:7" x14ac:dyDescent="0.25">
      <c r="A66" s="4" t="s">
        <v>251</v>
      </c>
      <c r="B66" s="5"/>
      <c r="C66" s="5"/>
      <c r="D66" s="5"/>
      <c r="E66" s="5"/>
      <c r="F66" s="5"/>
      <c r="G66" s="5"/>
    </row>
    <row r="67" spans="1:7" x14ac:dyDescent="0.25">
      <c r="A67" t="s">
        <v>252</v>
      </c>
      <c r="D67" s="36">
        <f t="shared" ref="D67:F68" si="0">D12*$C$63</f>
        <v>40</v>
      </c>
      <c r="E67" s="36">
        <f t="shared" si="0"/>
        <v>40</v>
      </c>
      <c r="F67" s="36">
        <f t="shared" si="0"/>
        <v>40</v>
      </c>
    </row>
    <row r="68" spans="1:7" x14ac:dyDescent="0.25">
      <c r="A68" t="s">
        <v>253</v>
      </c>
      <c r="D68" s="36">
        <f t="shared" si="0"/>
        <v>10</v>
      </c>
      <c r="E68" s="36">
        <f t="shared" si="0"/>
        <v>10</v>
      </c>
      <c r="F68" s="36">
        <f t="shared" si="0"/>
        <v>10</v>
      </c>
    </row>
    <row r="69" spans="1:7" x14ac:dyDescent="0.25">
      <c r="A69" s="3" t="s">
        <v>254</v>
      </c>
      <c r="D69" s="37">
        <f>D67+D68</f>
        <v>50</v>
      </c>
      <c r="E69" s="37">
        <f>E67+E68</f>
        <v>50</v>
      </c>
      <c r="F69" s="37">
        <f>F67+F68</f>
        <v>50</v>
      </c>
    </row>
    <row r="71" spans="1:7" x14ac:dyDescent="0.25">
      <c r="A71" s="4" t="s">
        <v>255</v>
      </c>
      <c r="B71" s="5"/>
      <c r="C71" s="5"/>
      <c r="D71" s="35" t="s">
        <v>103</v>
      </c>
      <c r="E71" s="35" t="s">
        <v>104</v>
      </c>
      <c r="F71" s="35" t="s">
        <v>105</v>
      </c>
      <c r="G71" s="35" t="s">
        <v>106</v>
      </c>
    </row>
    <row r="72" spans="1:7" x14ac:dyDescent="0.25">
      <c r="A72" t="s">
        <v>256</v>
      </c>
      <c r="D72" s="36">
        <f>D69*D23</f>
        <v>48.543689320388353</v>
      </c>
      <c r="E72" s="36">
        <f>E69*E23</f>
        <v>46.675535018320154</v>
      </c>
      <c r="F72" s="36">
        <f>F69*F23</f>
        <v>44.449817933545745</v>
      </c>
      <c r="G72" s="37">
        <f>SUM(D72:F72)</f>
        <v>139.66904227225425</v>
      </c>
    </row>
    <row r="73" spans="1:7" x14ac:dyDescent="0.25">
      <c r="A73" t="s">
        <v>257</v>
      </c>
      <c r="E73" s="36">
        <f>E69*D24</f>
        <v>48.543689320388353</v>
      </c>
      <c r="F73" s="36">
        <f>F69*E24</f>
        <v>46.675535018320154</v>
      </c>
      <c r="G73" s="37">
        <f>SUM(E73:F73)</f>
        <v>95.2192243387085</v>
      </c>
    </row>
    <row r="74" spans="1:7" x14ac:dyDescent="0.25">
      <c r="A74" t="s">
        <v>258</v>
      </c>
      <c r="F74" s="36">
        <f>F69*D25</f>
        <v>48.543689320388353</v>
      </c>
      <c r="G74" s="37">
        <f>F74</f>
        <v>48.543689320388353</v>
      </c>
    </row>
    <row r="75" spans="1:7" x14ac:dyDescent="0.25">
      <c r="A75" t="s">
        <v>259</v>
      </c>
      <c r="G75" s="37">
        <v>0</v>
      </c>
    </row>
    <row r="77" spans="1:7" x14ac:dyDescent="0.25">
      <c r="A77" t="s">
        <v>260</v>
      </c>
      <c r="E77" s="36">
        <f>E69*D23</f>
        <v>48.543689320388353</v>
      </c>
      <c r="F77" s="36">
        <f>F69*E23</f>
        <v>46.675535018320154</v>
      </c>
      <c r="G77" s="37">
        <f>SUM(E77:F77)</f>
        <v>95.2192243387085</v>
      </c>
    </row>
    <row r="78" spans="1:7" x14ac:dyDescent="0.25">
      <c r="A78" t="s">
        <v>261</v>
      </c>
      <c r="F78" s="36">
        <f>F69*D23</f>
        <v>48.543689320388353</v>
      </c>
      <c r="G78" s="37">
        <f>F78</f>
        <v>48.543689320388353</v>
      </c>
    </row>
    <row r="80" spans="1:7" x14ac:dyDescent="0.25">
      <c r="A80" s="4" t="s">
        <v>262</v>
      </c>
      <c r="B80" s="5"/>
      <c r="C80" s="5"/>
      <c r="D80" s="98">
        <f>D36</f>
        <v>46022</v>
      </c>
      <c r="E80" s="98">
        <f>E36</f>
        <v>46387</v>
      </c>
      <c r="F80" s="98">
        <f>F36</f>
        <v>46752</v>
      </c>
      <c r="G80" s="5"/>
    </row>
    <row r="81" spans="1:7" x14ac:dyDescent="0.25">
      <c r="A81" t="s">
        <v>263</v>
      </c>
      <c r="D81" s="36">
        <f>G72</f>
        <v>139.66904227225425</v>
      </c>
      <c r="E81" s="36">
        <f>G73</f>
        <v>95.2192243387085</v>
      </c>
      <c r="F81" s="36">
        <f>G74</f>
        <v>48.543689320388353</v>
      </c>
    </row>
    <row r="82" spans="1:7" x14ac:dyDescent="0.25">
      <c r="A82" t="s">
        <v>264</v>
      </c>
      <c r="D82" s="36">
        <f>-D69</f>
        <v>-50</v>
      </c>
      <c r="E82" s="36">
        <f>-E69</f>
        <v>-50</v>
      </c>
      <c r="F82" s="36">
        <f>-F69</f>
        <v>-50</v>
      </c>
    </row>
    <row r="83" spans="1:7" x14ac:dyDescent="0.25">
      <c r="A83" t="s">
        <v>116</v>
      </c>
      <c r="D83" s="36">
        <f>G77-(G72-D69)</f>
        <v>5.5501820664542549</v>
      </c>
      <c r="E83" s="36">
        <f>G78-(G73-E69)</f>
        <v>3.3244649816798528</v>
      </c>
      <c r="F83" s="36">
        <f>G75-(G74-F69)</f>
        <v>1.4563106796116472</v>
      </c>
    </row>
    <row r="84" spans="1:7" x14ac:dyDescent="0.25">
      <c r="A84" t="s">
        <v>117</v>
      </c>
      <c r="D84" s="36">
        <f>G73-G77</f>
        <v>0</v>
      </c>
      <c r="E84" s="36">
        <f>G74-G78</f>
        <v>0</v>
      </c>
      <c r="F84" s="36">
        <v>0</v>
      </c>
    </row>
    <row r="85" spans="1:7" x14ac:dyDescent="0.25">
      <c r="A85" s="3" t="s">
        <v>265</v>
      </c>
      <c r="D85" s="37">
        <f>SUM(D81:D84)</f>
        <v>95.2192243387085</v>
      </c>
      <c r="E85" s="37">
        <f>SUM(E81:E84)</f>
        <v>48.543689320388353</v>
      </c>
      <c r="F85" s="37">
        <f>SUM(F81:F84)</f>
        <v>0</v>
      </c>
    </row>
    <row r="86" spans="1:7" x14ac:dyDescent="0.25">
      <c r="A86" s="23" t="s">
        <v>266</v>
      </c>
      <c r="D86" t="str">
        <f>IF(ABS(D85-G73)&lt;0.01,"✅","❌")</f>
        <v>✅</v>
      </c>
      <c r="E86" t="str">
        <f>IF(ABS(E85-G74)&lt;0.01,"✅","❌")</f>
        <v>✅</v>
      </c>
      <c r="F86" t="str">
        <f>IF(ABS(F85-G75)&lt;0.01,"✅","❌")</f>
        <v>✅</v>
      </c>
    </row>
    <row r="88" spans="1:7" x14ac:dyDescent="0.25">
      <c r="A88" s="4" t="s">
        <v>267</v>
      </c>
      <c r="B88" s="5"/>
      <c r="C88" s="5"/>
      <c r="D88" s="5"/>
      <c r="E88" s="5"/>
      <c r="F88" s="5"/>
      <c r="G88" s="5"/>
    </row>
    <row r="89" spans="1:7" x14ac:dyDescent="0.25">
      <c r="A89" t="s">
        <v>268</v>
      </c>
      <c r="C89" s="36">
        <f>C45*C63</f>
        <v>18</v>
      </c>
    </row>
    <row r="90" spans="1:7" x14ac:dyDescent="0.25">
      <c r="A90" t="s">
        <v>269</v>
      </c>
      <c r="C90" s="36">
        <f>C89/C8</f>
        <v>6</v>
      </c>
    </row>
    <row r="92" spans="1:7" x14ac:dyDescent="0.25">
      <c r="A92" s="4" t="s">
        <v>270</v>
      </c>
      <c r="B92" s="5"/>
      <c r="C92" s="5"/>
      <c r="D92" s="5"/>
      <c r="E92" s="5"/>
      <c r="F92" s="5"/>
      <c r="G92" s="5"/>
    </row>
    <row r="93" spans="1:7" x14ac:dyDescent="0.25">
      <c r="A93" t="s">
        <v>271</v>
      </c>
      <c r="C93" s="36">
        <f>G72</f>
        <v>139.66904227225425</v>
      </c>
    </row>
    <row r="94" spans="1:7" x14ac:dyDescent="0.25">
      <c r="A94" t="s">
        <v>272</v>
      </c>
      <c r="C94" s="36">
        <f>C89</f>
        <v>18</v>
      </c>
    </row>
    <row r="95" spans="1:7" x14ac:dyDescent="0.25">
      <c r="A95" s="3" t="s">
        <v>273</v>
      </c>
      <c r="C95" s="37">
        <f>C93+C94</f>
        <v>157.66904227225425</v>
      </c>
    </row>
    <row r="96" spans="1:7" x14ac:dyDescent="0.25">
      <c r="A96" s="6" t="s">
        <v>274</v>
      </c>
      <c r="C96" s="106">
        <f>C64-C95</f>
        <v>42.330957727745755</v>
      </c>
    </row>
    <row r="97" spans="1:7" x14ac:dyDescent="0.25">
      <c r="A97" s="9" t="s">
        <v>275</v>
      </c>
    </row>
    <row r="98" spans="1:7" x14ac:dyDescent="0.25">
      <c r="A98" s="3" t="s">
        <v>276</v>
      </c>
      <c r="C98" s="37">
        <f>C95+C96</f>
        <v>200</v>
      </c>
    </row>
    <row r="99" spans="1:7" x14ac:dyDescent="0.25">
      <c r="A99" s="23" t="s">
        <v>277</v>
      </c>
      <c r="C99" t="str">
        <f>IF(ABS(C98-C64)&lt;0.01,"✅","❌")</f>
        <v>✅</v>
      </c>
    </row>
    <row r="101" spans="1:7" x14ac:dyDescent="0.25">
      <c r="A101" s="4" t="s">
        <v>278</v>
      </c>
      <c r="B101" s="5"/>
      <c r="C101" s="5"/>
      <c r="D101" s="98">
        <f>D36</f>
        <v>46022</v>
      </c>
      <c r="E101" s="98">
        <f>E36</f>
        <v>46387</v>
      </c>
      <c r="F101" s="98">
        <f>F36</f>
        <v>46752</v>
      </c>
      <c r="G101" s="5"/>
    </row>
    <row r="102" spans="1:7" x14ac:dyDescent="0.25">
      <c r="A102" t="s">
        <v>279</v>
      </c>
      <c r="D102" s="36">
        <f>C96</f>
        <v>42.330957727745755</v>
      </c>
      <c r="E102" s="36">
        <f>D106</f>
        <v>29.067257639718754</v>
      </c>
      <c r="F102" s="36">
        <f>E106</f>
        <v>14.969637684455158</v>
      </c>
    </row>
    <row r="103" spans="1:7" x14ac:dyDescent="0.25">
      <c r="A103" t="s">
        <v>280</v>
      </c>
      <c r="D103" s="36">
        <f>D102*D18</f>
        <v>1.2699287318323726</v>
      </c>
      <c r="E103" s="36">
        <f>E102*D18</f>
        <v>0.87201772919156262</v>
      </c>
      <c r="F103" s="36">
        <f>F102*D18</f>
        <v>0.44908913053365473</v>
      </c>
    </row>
    <row r="104" spans="1:7" x14ac:dyDescent="0.25">
      <c r="A104" s="9" t="s">
        <v>281</v>
      </c>
      <c r="D104" s="43">
        <v>0</v>
      </c>
      <c r="E104" s="43">
        <v>0</v>
      </c>
      <c r="F104" s="43">
        <v>0</v>
      </c>
    </row>
    <row r="105" spans="1:7" x14ac:dyDescent="0.25">
      <c r="A105" t="s">
        <v>282</v>
      </c>
      <c r="D105" s="36">
        <f>-(D102+D103+D104)/C8</f>
        <v>-14.533628819859375</v>
      </c>
      <c r="E105" s="36">
        <f>-(E102+E103+E104)/2</f>
        <v>-14.969637684455158</v>
      </c>
      <c r="F105" s="36">
        <f>-(F102+F103+F104)/1</f>
        <v>-15.418726814988812</v>
      </c>
    </row>
    <row r="106" spans="1:7" x14ac:dyDescent="0.25">
      <c r="A106" s="3" t="s">
        <v>283</v>
      </c>
      <c r="D106" s="37">
        <f>SUM(D102:D105)</f>
        <v>29.067257639718754</v>
      </c>
      <c r="E106" s="37">
        <f>SUM(E102:E105)</f>
        <v>14.969637684455158</v>
      </c>
      <c r="F106" s="37">
        <f>SUM(F102:F105)</f>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F4F80-AA2E-417B-BE5A-3D0DC71921E1}">
  <dimension ref="A1:E59"/>
  <sheetViews>
    <sheetView workbookViewId="0">
      <selection activeCell="J34" sqref="J34"/>
    </sheetView>
  </sheetViews>
  <sheetFormatPr defaultRowHeight="15" x14ac:dyDescent="0.25"/>
  <cols>
    <col min="1" max="1" width="57.140625" customWidth="1"/>
    <col min="2" max="2" width="2.85546875" customWidth="1"/>
    <col min="3" max="5" width="21.85546875" customWidth="1"/>
  </cols>
  <sheetData>
    <row r="1" spans="1:5" ht="18.75" x14ac:dyDescent="0.3">
      <c r="A1" s="1" t="s">
        <v>38</v>
      </c>
    </row>
    <row r="2" spans="1:5" x14ac:dyDescent="0.25">
      <c r="A2" s="2" t="s">
        <v>284</v>
      </c>
    </row>
    <row r="4" spans="1:5" x14ac:dyDescent="0.25">
      <c r="C4" s="61">
        <v>46022</v>
      </c>
      <c r="D4" s="61">
        <v>46387</v>
      </c>
      <c r="E4" s="61">
        <v>46752</v>
      </c>
    </row>
    <row r="5" spans="1:5" x14ac:dyDescent="0.25">
      <c r="A5" s="3" t="s">
        <v>285</v>
      </c>
    </row>
    <row r="6" spans="1:5" x14ac:dyDescent="0.25">
      <c r="A6" t="s">
        <v>77</v>
      </c>
      <c r="C6" s="36">
        <f>'Assumptions (v5)'!D12</f>
        <v>200</v>
      </c>
      <c r="D6" s="36">
        <f>'Assumptions (v5)'!E12</f>
        <v>200</v>
      </c>
      <c r="E6" s="36">
        <f>'Assumptions (v5)'!F12</f>
        <v>200</v>
      </c>
    </row>
    <row r="7" spans="1:5" x14ac:dyDescent="0.25">
      <c r="A7" t="s">
        <v>78</v>
      </c>
      <c r="C7" s="36">
        <f>'Assumptions (v5)'!D13</f>
        <v>50</v>
      </c>
      <c r="D7" s="36">
        <f>'Assumptions (v5)'!E13</f>
        <v>50</v>
      </c>
      <c r="E7" s="36">
        <f>'Assumptions (v5)'!F13</f>
        <v>50</v>
      </c>
    </row>
    <row r="8" spans="1:5" x14ac:dyDescent="0.25">
      <c r="A8" t="s">
        <v>40</v>
      </c>
      <c r="C8" s="36">
        <f>'Assumptions (v5)'!C46</f>
        <v>30</v>
      </c>
      <c r="D8" s="36">
        <f>'Assumptions (v5)'!C46</f>
        <v>30</v>
      </c>
      <c r="E8" s="36">
        <f>'Assumptions (v5)'!C46</f>
        <v>30</v>
      </c>
    </row>
    <row r="9" spans="1:5" x14ac:dyDescent="0.25">
      <c r="A9" t="s">
        <v>41</v>
      </c>
      <c r="C9" s="36">
        <f>-'Assumptions (v5)'!D59</f>
        <v>72.668144099296867</v>
      </c>
      <c r="D9" s="36">
        <f>-'Assumptions (v5)'!E59</f>
        <v>74.848188422275783</v>
      </c>
      <c r="E9" s="36">
        <f>-'Assumptions (v5)'!F59</f>
        <v>77.093634074944049</v>
      </c>
    </row>
    <row r="11" spans="1:5" x14ac:dyDescent="0.25">
      <c r="A11" s="3" t="s">
        <v>286</v>
      </c>
      <c r="C11" s="37">
        <f>SUM(C6:C9)</f>
        <v>352.66814409929685</v>
      </c>
      <c r="D11" s="37">
        <f>SUM(D6:D9)</f>
        <v>354.84818842227577</v>
      </c>
      <c r="E11" s="37">
        <f>SUM(E6:E9)</f>
        <v>357.09363407494402</v>
      </c>
    </row>
    <row r="13" spans="1:5" x14ac:dyDescent="0.25">
      <c r="A13" s="3" t="s">
        <v>287</v>
      </c>
    </row>
    <row r="14" spans="1:5" x14ac:dyDescent="0.25">
      <c r="A14" t="s">
        <v>44</v>
      </c>
      <c r="C14" s="36">
        <f>'Assumptions (v5)'!D12</f>
        <v>200</v>
      </c>
      <c r="D14" s="36">
        <f>'Assumptions (v5)'!E12</f>
        <v>200</v>
      </c>
      <c r="E14" s="36">
        <f>'Assumptions (v5)'!F12</f>
        <v>200</v>
      </c>
    </row>
    <row r="15" spans="1:5" x14ac:dyDescent="0.25">
      <c r="A15" s="3" t="s">
        <v>45</v>
      </c>
      <c r="C15" s="36">
        <f>'Assumptions (v5)'!D13</f>
        <v>50</v>
      </c>
      <c r="D15" s="36">
        <f>'Assumptions (v5)'!E13</f>
        <v>50</v>
      </c>
      <c r="E15" s="36">
        <f>'Assumptions (v5)'!F13</f>
        <v>50</v>
      </c>
    </row>
    <row r="17" spans="1:5" x14ac:dyDescent="0.25">
      <c r="A17" s="3" t="s">
        <v>288</v>
      </c>
      <c r="C17" s="37">
        <f>-(C14+C15)</f>
        <v>-250</v>
      </c>
      <c r="D17" s="37">
        <f>-(D14+D15)</f>
        <v>-250</v>
      </c>
      <c r="E17" s="37">
        <f>-(E14+E15)</f>
        <v>-250</v>
      </c>
    </row>
    <row r="19" spans="1:5" x14ac:dyDescent="0.25">
      <c r="A19" s="21" t="s">
        <v>289</v>
      </c>
      <c r="B19" s="22"/>
      <c r="C19" s="38">
        <f>C11+C17</f>
        <v>102.66814409929685</v>
      </c>
      <c r="D19" s="38">
        <f>D11+D17</f>
        <v>104.84818842227577</v>
      </c>
      <c r="E19" s="38">
        <f>E11+E17</f>
        <v>107.09363407494402</v>
      </c>
    </row>
    <row r="20" spans="1:5" x14ac:dyDescent="0.25">
      <c r="A20" s="21"/>
      <c r="B20" s="22"/>
      <c r="C20" s="38"/>
      <c r="D20" s="38"/>
      <c r="E20" s="38"/>
    </row>
    <row r="21" spans="1:5" x14ac:dyDescent="0.25">
      <c r="A21" s="68" t="s">
        <v>290</v>
      </c>
      <c r="B21" s="40"/>
      <c r="C21" s="41"/>
      <c r="D21" s="41"/>
      <c r="E21" s="41"/>
    </row>
    <row r="22" spans="1:5" x14ac:dyDescent="0.25">
      <c r="A22" s="77" t="s">
        <v>291</v>
      </c>
      <c r="B22" s="22"/>
      <c r="C22" s="38"/>
      <c r="D22" s="38"/>
      <c r="E22" s="38"/>
    </row>
    <row r="23" spans="1:5" x14ac:dyDescent="0.25">
      <c r="A23" s="77" t="s">
        <v>292</v>
      </c>
      <c r="B23" s="22"/>
      <c r="C23" s="78">
        <f>'Assumptions (v5)'!D67+'Assumptions (v5)'!D68</f>
        <v>50</v>
      </c>
      <c r="D23" s="78">
        <f>'Assumptions (v5)'!E67+'Assumptions (v5)'!E68</f>
        <v>50</v>
      </c>
      <c r="E23" s="78">
        <f>'Assumptions (v5)'!F67+'Assumptions (v5)'!F68</f>
        <v>50</v>
      </c>
    </row>
    <row r="24" spans="1:5" x14ac:dyDescent="0.25">
      <c r="A24" s="77" t="s">
        <v>318</v>
      </c>
      <c r="B24" s="22"/>
      <c r="C24" s="78">
        <f>-'Assumptions (v5)'!C90</f>
        <v>-6</v>
      </c>
      <c r="D24" s="78">
        <f>-'Assumptions (v5)'!C90</f>
        <v>-6</v>
      </c>
      <c r="E24" s="78">
        <f>-'Assumptions (v5)'!C90</f>
        <v>-6</v>
      </c>
    </row>
    <row r="25" spans="1:5" x14ac:dyDescent="0.25">
      <c r="A25" s="77" t="s">
        <v>293</v>
      </c>
      <c r="B25" s="22"/>
      <c r="C25" s="78">
        <f>'Assumptions (v5)'!D105</f>
        <v>-14.533628819859375</v>
      </c>
      <c r="D25" s="78">
        <f>'Assumptions (v5)'!E105</f>
        <v>-14.969637684455158</v>
      </c>
      <c r="E25" s="78">
        <f>'Assumptions (v5)'!F105</f>
        <v>-15.418726814988812</v>
      </c>
    </row>
    <row r="26" spans="1:5" x14ac:dyDescent="0.25">
      <c r="A26" s="21"/>
      <c r="B26" s="22"/>
      <c r="C26" s="38"/>
      <c r="D26" s="38"/>
      <c r="E26" s="38"/>
    </row>
    <row r="27" spans="1:5" x14ac:dyDescent="0.25">
      <c r="A27" s="77" t="s">
        <v>294</v>
      </c>
      <c r="B27" s="22"/>
      <c r="C27" s="78">
        <f>SUM(C23:C25)</f>
        <v>29.466371180140627</v>
      </c>
      <c r="D27" s="78">
        <f>SUM(D23:D25)</f>
        <v>29.030362315544842</v>
      </c>
      <c r="E27" s="78">
        <f>SUM(E23:E25)</f>
        <v>28.581273185011188</v>
      </c>
    </row>
    <row r="28" spans="1:5" x14ac:dyDescent="0.25">
      <c r="A28" s="21"/>
      <c r="B28" s="22"/>
      <c r="C28" s="38"/>
      <c r="D28" s="38"/>
      <c r="E28" s="38"/>
    </row>
    <row r="29" spans="1:5" x14ac:dyDescent="0.25">
      <c r="A29" s="77" t="s">
        <v>295</v>
      </c>
      <c r="B29" s="22"/>
      <c r="C29" s="38"/>
      <c r="D29" s="38"/>
      <c r="E29" s="38"/>
    </row>
    <row r="30" spans="1:5" x14ac:dyDescent="0.25">
      <c r="A30" s="77" t="s">
        <v>296</v>
      </c>
      <c r="B30" s="22"/>
      <c r="C30" s="78">
        <f>-'Assumptions (v5)'!D67</f>
        <v>-40</v>
      </c>
      <c r="D30" s="78">
        <f>-'Assumptions (v5)'!E67</f>
        <v>-40</v>
      </c>
      <c r="E30" s="78">
        <f>-'Assumptions (v5)'!F67</f>
        <v>-40</v>
      </c>
    </row>
    <row r="31" spans="1:5" x14ac:dyDescent="0.25">
      <c r="A31" s="77" t="s">
        <v>297</v>
      </c>
      <c r="B31" s="22"/>
      <c r="C31" s="78">
        <f>-'Assumptions (v5)'!D68</f>
        <v>-10</v>
      </c>
      <c r="D31" s="78">
        <f>-'Assumptions (v5)'!E68</f>
        <v>-10</v>
      </c>
      <c r="E31" s="78">
        <f>-'Assumptions (v5)'!F68</f>
        <v>-10</v>
      </c>
    </row>
    <row r="32" spans="1:5" x14ac:dyDescent="0.25">
      <c r="A32" s="21"/>
      <c r="B32" s="22"/>
      <c r="C32" s="38"/>
      <c r="D32" s="38"/>
      <c r="E32" s="38"/>
    </row>
    <row r="33" spans="1:5" x14ac:dyDescent="0.25">
      <c r="A33" s="77" t="s">
        <v>298</v>
      </c>
      <c r="B33" s="22"/>
      <c r="C33" s="78">
        <f>SUM(C30:C31)</f>
        <v>-50</v>
      </c>
      <c r="D33" s="78">
        <f>SUM(D30:D31)</f>
        <v>-50</v>
      </c>
      <c r="E33" s="78">
        <f>SUM(E30:E31)</f>
        <v>-50</v>
      </c>
    </row>
    <row r="34" spans="1:5" x14ac:dyDescent="0.25">
      <c r="A34" s="21"/>
      <c r="B34" s="22"/>
      <c r="C34" s="38"/>
      <c r="D34" s="38"/>
      <c r="E34" s="38"/>
    </row>
    <row r="35" spans="1:5" x14ac:dyDescent="0.25">
      <c r="A35" s="68" t="s">
        <v>299</v>
      </c>
      <c r="B35" s="40"/>
      <c r="C35" s="79">
        <f>C27+C33</f>
        <v>-20.533628819859373</v>
      </c>
      <c r="D35" s="79">
        <f>D27+D33</f>
        <v>-20.969637684455158</v>
      </c>
      <c r="E35" s="79">
        <f>E27+E33</f>
        <v>-21.418726814988812</v>
      </c>
    </row>
    <row r="36" spans="1:5" x14ac:dyDescent="0.25">
      <c r="A36" s="21"/>
      <c r="B36" s="22"/>
      <c r="C36" s="38"/>
      <c r="D36" s="38"/>
      <c r="E36" s="38"/>
    </row>
    <row r="37" spans="1:5" x14ac:dyDescent="0.25">
      <c r="A37" s="77" t="s">
        <v>300</v>
      </c>
      <c r="B37" s="22"/>
      <c r="C37" s="78">
        <f>C19+C35</f>
        <v>82.13451527943748</v>
      </c>
      <c r="D37" s="78">
        <f>D19+D35</f>
        <v>83.878550737820603</v>
      </c>
      <c r="E37" s="78">
        <f>E19+E35</f>
        <v>85.674907259955205</v>
      </c>
    </row>
    <row r="38" spans="1:5" x14ac:dyDescent="0.25">
      <c r="A38" s="21"/>
      <c r="B38" s="22"/>
      <c r="C38" s="38"/>
      <c r="D38" s="38"/>
      <c r="E38" s="38"/>
    </row>
    <row r="39" spans="1:5" x14ac:dyDescent="0.25">
      <c r="A39" s="68" t="s">
        <v>301</v>
      </c>
      <c r="B39" s="40"/>
      <c r="C39" s="41"/>
      <c r="D39" s="41"/>
      <c r="E39" s="41"/>
    </row>
    <row r="40" spans="1:5" x14ac:dyDescent="0.25">
      <c r="A40" s="77" t="s">
        <v>302</v>
      </c>
      <c r="B40" s="22"/>
      <c r="C40" s="78">
        <f>'Assumptions (v5)'!D83</f>
        <v>5.5501820664542549</v>
      </c>
      <c r="D40" s="78">
        <f>'Assumptions (v5)'!E83</f>
        <v>3.3244649816798528</v>
      </c>
      <c r="E40" s="78">
        <f>'Assumptions (v5)'!F83</f>
        <v>1.4563106796116472</v>
      </c>
    </row>
    <row r="41" spans="1:5" x14ac:dyDescent="0.25">
      <c r="A41" s="77" t="s">
        <v>303</v>
      </c>
      <c r="B41" s="22"/>
      <c r="C41" s="78">
        <f>'Assumptions (v5)'!D84</f>
        <v>0</v>
      </c>
      <c r="D41" s="78">
        <f>'Assumptions (v5)'!E84</f>
        <v>0</v>
      </c>
      <c r="E41" s="78">
        <f>'Assumptions (v5)'!F84</f>
        <v>0</v>
      </c>
    </row>
    <row r="42" spans="1:5" x14ac:dyDescent="0.25">
      <c r="A42" s="77" t="s">
        <v>304</v>
      </c>
      <c r="B42" s="22"/>
      <c r="C42" s="78">
        <f>'Assumptions (v5)'!D103</f>
        <v>1.2699287318323726</v>
      </c>
      <c r="D42" s="78">
        <f>'Assumptions (v5)'!E103</f>
        <v>0.87201772919156262</v>
      </c>
      <c r="E42" s="78">
        <f>'Assumptions (v5)'!F103</f>
        <v>0.44908913053365473</v>
      </c>
    </row>
    <row r="43" spans="1:5" x14ac:dyDescent="0.25">
      <c r="A43" s="77" t="s">
        <v>305</v>
      </c>
      <c r="B43" s="22"/>
      <c r="C43" s="78">
        <f>SUM(C40:C42)</f>
        <v>6.8201107982866276</v>
      </c>
      <c r="D43" s="78">
        <f>SUM(D40:D42)</f>
        <v>4.1964827108714156</v>
      </c>
      <c r="E43" s="78">
        <f>SUM(E40:E42)</f>
        <v>1.905399810145302</v>
      </c>
    </row>
    <row r="44" spans="1:5" x14ac:dyDescent="0.25">
      <c r="A44" s="21"/>
      <c r="B44" s="22"/>
      <c r="C44" s="38"/>
      <c r="D44" s="38"/>
      <c r="E44" s="38"/>
    </row>
    <row r="46" spans="1:5" x14ac:dyDescent="0.25">
      <c r="A46" s="47" t="s">
        <v>306</v>
      </c>
    </row>
    <row r="47" spans="1:5" x14ac:dyDescent="0.25">
      <c r="A47" t="s">
        <v>132</v>
      </c>
      <c r="C47" s="36">
        <f>-'Assumptions (v5)'!D39</f>
        <v>-27.750910332271246</v>
      </c>
      <c r="D47" s="36">
        <f>-'Assumptions (v5)'!E39</f>
        <v>-16.622324908399264</v>
      </c>
      <c r="E47" s="36">
        <f>-'Assumptions (v5)'!F39</f>
        <v>-7.2815533980582359</v>
      </c>
    </row>
    <row r="48" spans="1:5" x14ac:dyDescent="0.25">
      <c r="A48" t="s">
        <v>117</v>
      </c>
      <c r="C48" s="36">
        <f>-'Assumptions (v5)'!D40</f>
        <v>0</v>
      </c>
      <c r="D48" s="36">
        <f>-'Assumptions (v5)'!E40</f>
        <v>0</v>
      </c>
      <c r="E48" s="36">
        <f>-'Assumptions (v5)'!F40</f>
        <v>0</v>
      </c>
    </row>
    <row r="49" spans="1:5" x14ac:dyDescent="0.25">
      <c r="A49" s="46" t="s">
        <v>141</v>
      </c>
      <c r="C49" s="56">
        <f>-'Assumptions (v5)'!D57</f>
        <v>-6.3496436591618624</v>
      </c>
      <c r="D49" s="56">
        <f>-'Assumptions (v5)'!E57</f>
        <v>-4.3600886459578128</v>
      </c>
      <c r="E49" s="56">
        <f>-'Assumptions (v5)'!F57</f>
        <v>-2.2454456526682733</v>
      </c>
    </row>
    <row r="50" spans="1:5" x14ac:dyDescent="0.25">
      <c r="A50" s="47" t="s">
        <v>307</v>
      </c>
      <c r="C50" s="37">
        <f>SUM(C47:C49)</f>
        <v>-34.10055399143311</v>
      </c>
      <c r="D50" s="37">
        <f>SUM(D47:D49)</f>
        <v>-20.982413554357077</v>
      </c>
      <c r="E50" s="37">
        <f>SUM(E47:E49)</f>
        <v>-9.5269990507265092</v>
      </c>
    </row>
    <row r="52" spans="1:5" x14ac:dyDescent="0.25">
      <c r="A52" s="68" t="s">
        <v>134</v>
      </c>
      <c r="B52" s="40"/>
      <c r="C52" s="79">
        <f>C37+C50+C43</f>
        <v>54.854072086290998</v>
      </c>
      <c r="D52" s="79">
        <f>D37+D50+D43</f>
        <v>67.092619894334945</v>
      </c>
      <c r="E52" s="79">
        <f>E37+E50+E43</f>
        <v>78.053308019373986</v>
      </c>
    </row>
    <row r="54" spans="1:5" x14ac:dyDescent="0.25">
      <c r="A54" s="3" t="s">
        <v>49</v>
      </c>
      <c r="C54" s="37">
        <f>C52</f>
        <v>54.854072086290998</v>
      </c>
      <c r="D54" s="37">
        <f>C54+D52</f>
        <v>121.94669198062594</v>
      </c>
      <c r="E54" s="37">
        <f>D54+E52</f>
        <v>199.99999999999994</v>
      </c>
    </row>
    <row r="56" spans="1:5" x14ac:dyDescent="0.25">
      <c r="A56" s="64" t="s">
        <v>308</v>
      </c>
    </row>
    <row r="57" spans="1:5" x14ac:dyDescent="0.25">
      <c r="A57" s="46" t="s">
        <v>309</v>
      </c>
      <c r="C57" s="42">
        <f>'Assumptions (v5)'!D14</f>
        <v>250</v>
      </c>
      <c r="D57" s="42">
        <f>'Assumptions (v5)'!E14</f>
        <v>250</v>
      </c>
      <c r="E57" s="42">
        <f>'Assumptions (v5)'!F14</f>
        <v>250</v>
      </c>
    </row>
    <row r="58" spans="1:5" x14ac:dyDescent="0.25">
      <c r="A58" s="46" t="s">
        <v>310</v>
      </c>
      <c r="C58" s="56">
        <f>'Assumptions (v5)'!D69</f>
        <v>50</v>
      </c>
      <c r="D58" s="56">
        <f>'Assumptions (v5)'!E69</f>
        <v>50</v>
      </c>
      <c r="E58" s="56">
        <f>'Assumptions (v5)'!F69</f>
        <v>50</v>
      </c>
    </row>
    <row r="59" spans="1:5" x14ac:dyDescent="0.25">
      <c r="A59" s="47" t="s">
        <v>311</v>
      </c>
      <c r="C59" s="55">
        <f>C57-C58</f>
        <v>200</v>
      </c>
      <c r="D59" s="55">
        <f>D57-D58</f>
        <v>200</v>
      </c>
      <c r="E59" s="55">
        <f>E57-E58</f>
        <v>200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91A1-49B5-404B-97F7-DA70BA463EDF}">
  <dimension ref="A1:E30"/>
  <sheetViews>
    <sheetView workbookViewId="0">
      <selection activeCell="E24" sqref="E24"/>
    </sheetView>
  </sheetViews>
  <sheetFormatPr defaultRowHeight="15" x14ac:dyDescent="0.25"/>
  <cols>
    <col min="1" max="1" width="57.140625" customWidth="1"/>
    <col min="2" max="5" width="21.85546875" customWidth="1"/>
  </cols>
  <sheetData>
    <row r="1" spans="1:5" ht="18.75" x14ac:dyDescent="0.3">
      <c r="A1" s="1" t="s">
        <v>20</v>
      </c>
    </row>
    <row r="2" spans="1:5" x14ac:dyDescent="0.25">
      <c r="A2" s="45" t="s">
        <v>284</v>
      </c>
    </row>
    <row r="4" spans="1:5" x14ac:dyDescent="0.25">
      <c r="B4" s="61">
        <v>45658</v>
      </c>
      <c r="C4" s="61">
        <v>46022</v>
      </c>
      <c r="D4" s="61">
        <v>46387</v>
      </c>
      <c r="E4" s="61">
        <v>46752</v>
      </c>
    </row>
    <row r="5" spans="1:5" x14ac:dyDescent="0.25">
      <c r="A5" s="3" t="s">
        <v>25</v>
      </c>
    </row>
    <row r="6" spans="1:5" x14ac:dyDescent="0.25">
      <c r="A6" t="s">
        <v>26</v>
      </c>
      <c r="B6" s="56">
        <f>'Assumptions (v5)'!C9-'Assumptions (v5)'!C64</f>
        <v>800</v>
      </c>
      <c r="C6" s="56">
        <f>B6-'P&amp;L (v5)'!C57+'P&amp;L (v5)'!C58</f>
        <v>600</v>
      </c>
      <c r="D6" s="56">
        <f>C6-'P&amp;L (v5)'!D57+'P&amp;L (v5)'!D58</f>
        <v>400</v>
      </c>
      <c r="E6" s="56">
        <f>D6-'P&amp;L (v5)'!E57+'P&amp;L (v5)'!E58</f>
        <v>200</v>
      </c>
    </row>
    <row r="7" spans="1:5" x14ac:dyDescent="0.25">
      <c r="A7" s="3" t="s">
        <v>27</v>
      </c>
      <c r="B7" s="37">
        <f>B6</f>
        <v>800</v>
      </c>
      <c r="C7" s="37">
        <f>C6</f>
        <v>600</v>
      </c>
      <c r="D7" s="37">
        <f>D6</f>
        <v>400</v>
      </c>
      <c r="E7" s="37">
        <f>E6</f>
        <v>200</v>
      </c>
    </row>
    <row r="8" spans="1:5" x14ac:dyDescent="0.25">
      <c r="A8" s="47" t="s">
        <v>312</v>
      </c>
      <c r="B8" s="37"/>
      <c r="C8" s="37"/>
      <c r="D8" s="37"/>
      <c r="E8" s="37"/>
    </row>
    <row r="9" spans="1:5" x14ac:dyDescent="0.25">
      <c r="A9" s="47" t="s">
        <v>313</v>
      </c>
      <c r="B9" s="55">
        <f>'Assumptions (v5)'!G72</f>
        <v>139.66904227225425</v>
      </c>
      <c r="C9" s="55">
        <f>'Assumptions (v5)'!G73</f>
        <v>95.2192243387085</v>
      </c>
      <c r="D9" s="55">
        <f>'Assumptions (v5)'!G74</f>
        <v>48.543689320388353</v>
      </c>
      <c r="E9" s="55">
        <f>'Assumptions (v5)'!G75</f>
        <v>0</v>
      </c>
    </row>
    <row r="10" spans="1:5" x14ac:dyDescent="0.25">
      <c r="A10" s="47" t="s">
        <v>314</v>
      </c>
      <c r="B10" s="55">
        <f>'Assumptions (v5)'!C89</f>
        <v>18</v>
      </c>
      <c r="C10" s="55">
        <f>B10+'P&amp;L (v5)'!C24</f>
        <v>12</v>
      </c>
      <c r="D10" s="55">
        <f>C10+'P&amp;L (v5)'!D24</f>
        <v>6</v>
      </c>
      <c r="E10" s="55">
        <f>D10+'P&amp;L (v5)'!E24</f>
        <v>0</v>
      </c>
    </row>
    <row r="11" spans="1:5" x14ac:dyDescent="0.25">
      <c r="A11" s="47" t="s">
        <v>315</v>
      </c>
      <c r="B11" s="55">
        <f>B9+B10</f>
        <v>157.66904227225425</v>
      </c>
      <c r="C11" s="55">
        <f>C9+C10</f>
        <v>107.2192243387085</v>
      </c>
      <c r="D11" s="55">
        <f>D9+D10</f>
        <v>54.543689320388353</v>
      </c>
      <c r="E11" s="55">
        <f>E9+E10</f>
        <v>0</v>
      </c>
    </row>
    <row r="12" spans="1:5" x14ac:dyDescent="0.25">
      <c r="A12" s="47" t="s">
        <v>316</v>
      </c>
      <c r="B12" s="55">
        <f>'Assumptions (v5)'!C96</f>
        <v>42.330957727745755</v>
      </c>
      <c r="C12" s="55">
        <f>'Assumptions (v5)'!D106</f>
        <v>29.067257639718754</v>
      </c>
      <c r="D12" s="55">
        <f>'Assumptions (v5)'!E106</f>
        <v>14.969637684455158</v>
      </c>
      <c r="E12" s="55">
        <f>'Assumptions (v5)'!F106</f>
        <v>0</v>
      </c>
    </row>
    <row r="13" spans="1:5" x14ac:dyDescent="0.25">
      <c r="A13" s="68" t="s">
        <v>317</v>
      </c>
      <c r="B13" s="79">
        <f>B11+B12</f>
        <v>200</v>
      </c>
      <c r="C13" s="79">
        <f>C11+C12</f>
        <v>136.28648197842725</v>
      </c>
      <c r="D13" s="79">
        <f>D11+D12</f>
        <v>69.513327004843518</v>
      </c>
      <c r="E13" s="79">
        <f>E11+E12</f>
        <v>0</v>
      </c>
    </row>
    <row r="14" spans="1:5" x14ac:dyDescent="0.25">
      <c r="A14" s="3"/>
      <c r="B14" s="37"/>
      <c r="C14" s="37"/>
      <c r="D14" s="37"/>
      <c r="E14" s="37"/>
    </row>
    <row r="15" spans="1:5" x14ac:dyDescent="0.25">
      <c r="A15" s="47" t="s">
        <v>27</v>
      </c>
      <c r="B15" s="55">
        <f>B7+B13</f>
        <v>1000</v>
      </c>
      <c r="C15" s="55">
        <f>C7+C13</f>
        <v>736.28648197842722</v>
      </c>
      <c r="D15" s="55">
        <f>D7+D13</f>
        <v>469.51332700484352</v>
      </c>
      <c r="E15" s="55">
        <f>E7+E13</f>
        <v>200</v>
      </c>
    </row>
    <row r="17" spans="1:5" x14ac:dyDescent="0.25">
      <c r="A17" s="3" t="s">
        <v>28</v>
      </c>
    </row>
    <row r="18" spans="1:5" x14ac:dyDescent="0.25">
      <c r="A18" s="3" t="s">
        <v>29</v>
      </c>
    </row>
    <row r="19" spans="1:5" x14ac:dyDescent="0.25">
      <c r="A19" s="3" t="s">
        <v>80</v>
      </c>
      <c r="B19" s="56">
        <f>'Assumptions (v5)'!G28</f>
        <v>698.34521136127125</v>
      </c>
      <c r="C19" s="56">
        <f>'Assumptions (v5)'!G29</f>
        <v>476.0961216935425</v>
      </c>
      <c r="D19" s="56">
        <f>'Assumptions (v5)'!G30</f>
        <v>242.71844660194176</v>
      </c>
      <c r="E19" s="56">
        <f>'Assumptions (v5)'!G31</f>
        <v>0</v>
      </c>
    </row>
    <row r="20" spans="1:5" x14ac:dyDescent="0.25">
      <c r="A20" s="3" t="s">
        <v>30</v>
      </c>
      <c r="B20" s="56">
        <f>'Assumptions (v5)'!C50</f>
        <v>90</v>
      </c>
      <c r="C20" s="56">
        <f>B20-'P&amp;L (v5)'!C8</f>
        <v>60</v>
      </c>
      <c r="D20" s="56">
        <f>C20-'P&amp;L (v5)'!D8</f>
        <v>30</v>
      </c>
      <c r="E20" s="56">
        <f>D20-'P&amp;L (v5)'!E8</f>
        <v>0</v>
      </c>
    </row>
    <row r="21" spans="1:5" x14ac:dyDescent="0.25">
      <c r="A21" s="3" t="s">
        <v>81</v>
      </c>
      <c r="B21" s="37">
        <f>B19+B20</f>
        <v>788.34521136127125</v>
      </c>
      <c r="C21" s="37">
        <f>C19+C20</f>
        <v>536.0961216935425</v>
      </c>
      <c r="D21" s="37">
        <f>D19+D20</f>
        <v>272.71844660194176</v>
      </c>
      <c r="E21" s="37">
        <f>E19+E20</f>
        <v>0</v>
      </c>
    </row>
    <row r="22" spans="1:5" x14ac:dyDescent="0.25">
      <c r="A22" s="3" t="s">
        <v>31</v>
      </c>
      <c r="B22" s="56">
        <f>'Assumptions (v5)'!C52</f>
        <v>211.65478863872875</v>
      </c>
      <c r="C22" s="56">
        <f>'Assumptions (v5)'!D60</f>
        <v>145.33628819859376</v>
      </c>
      <c r="D22" s="56">
        <f>'Assumptions (v5)'!E60</f>
        <v>74.848188422275783</v>
      </c>
      <c r="E22" s="56">
        <f>'Assumptions (v5)'!F60</f>
        <v>0</v>
      </c>
    </row>
    <row r="23" spans="1:5" x14ac:dyDescent="0.25">
      <c r="A23" s="3" t="s">
        <v>32</v>
      </c>
      <c r="B23" s="37">
        <f>B21+B22</f>
        <v>1000</v>
      </c>
      <c r="C23" s="37">
        <f>C21+C22</f>
        <v>681.43240989213632</v>
      </c>
      <c r="D23" s="37">
        <f>D21+D22</f>
        <v>347.56663502421753</v>
      </c>
      <c r="E23" s="37">
        <f>E21+E22</f>
        <v>0</v>
      </c>
    </row>
    <row r="24" spans="1:5" x14ac:dyDescent="0.25">
      <c r="A24" s="3" t="s">
        <v>33</v>
      </c>
      <c r="B24" s="37">
        <f>B23</f>
        <v>1000</v>
      </c>
      <c r="C24" s="37">
        <f>C23</f>
        <v>681.43240989213632</v>
      </c>
      <c r="D24" s="37">
        <f>D23</f>
        <v>347.56663502421753</v>
      </c>
      <c r="E24" s="37">
        <f>E23</f>
        <v>0</v>
      </c>
    </row>
    <row r="26" spans="1:5" x14ac:dyDescent="0.25">
      <c r="A26" s="3" t="s">
        <v>34</v>
      </c>
    </row>
    <row r="27" spans="1:5" x14ac:dyDescent="0.25">
      <c r="A27" s="3" t="s">
        <v>35</v>
      </c>
      <c r="B27" s="36">
        <v>0</v>
      </c>
      <c r="C27" s="36">
        <f>B27+'P&amp;L (v5)'!C52</f>
        <v>54.854072086290998</v>
      </c>
      <c r="D27" s="36">
        <f>C27+'P&amp;L (v5)'!D52</f>
        <v>121.94669198062594</v>
      </c>
      <c r="E27" s="36">
        <f>D27+'P&amp;L (v5)'!E52</f>
        <v>199.99999999999994</v>
      </c>
    </row>
    <row r="28" spans="1:5" x14ac:dyDescent="0.25">
      <c r="A28" s="3" t="s">
        <v>36</v>
      </c>
      <c r="B28" s="37">
        <f>B27</f>
        <v>0</v>
      </c>
      <c r="C28" s="37">
        <f>C27</f>
        <v>54.854072086290998</v>
      </c>
      <c r="D28" s="37">
        <f>D27</f>
        <v>121.94669198062594</v>
      </c>
      <c r="E28" s="37">
        <f>E27</f>
        <v>199.99999999999994</v>
      </c>
    </row>
    <row r="30" spans="1:5" x14ac:dyDescent="0.25">
      <c r="A30" s="15" t="s">
        <v>37</v>
      </c>
      <c r="B30" t="str">
        <f>IF(ABS(B15-B24-B28)&lt;0.01,"✅ Balanced","❌ "&amp;TEXT(B15-B24-B28,"#,##0.00"))</f>
        <v>✅ Balanced</v>
      </c>
      <c r="C30" t="str">
        <f>IF(ABS(C15-C24-C28)&lt;0.01,"✅ Balanced","❌ "&amp;TEXT(C15-C24-C28,"#,##0.00"))</f>
        <v>✅ Balanced</v>
      </c>
      <c r="D30" t="str">
        <f>IF(ABS(D15-D24-D28)&lt;0.01,"✅ Balanced","❌ "&amp;TEXT(D15-D24-D28,"#,##0.00"))</f>
        <v>✅ Balanced</v>
      </c>
      <c r="E30" t="str">
        <f>IF(ABS(E15-E24-E28)&lt;0.01,"✅ Balanced","❌ "&amp;TEXT(E15-E24-E28,"#,##0.00"))</f>
        <v>✅ Balanced</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17C9-3732-4DB9-BD15-A19098B980DA}">
  <dimension ref="A1:E63"/>
  <sheetViews>
    <sheetView workbookViewId="0">
      <selection activeCell="P31" sqref="P31"/>
    </sheetView>
  </sheetViews>
  <sheetFormatPr defaultRowHeight="15" x14ac:dyDescent="0.25"/>
  <cols>
    <col min="1" max="1" width="53.28515625" customWidth="1"/>
    <col min="2" max="2" width="2.85546875" customWidth="1"/>
    <col min="3" max="5" width="17.140625" customWidth="1"/>
  </cols>
  <sheetData>
    <row r="1" spans="1:5" ht="18.75" x14ac:dyDescent="0.3">
      <c r="A1" s="44" t="s">
        <v>54</v>
      </c>
    </row>
    <row r="2" spans="1:5" x14ac:dyDescent="0.25">
      <c r="A2" s="45" t="s">
        <v>319</v>
      </c>
    </row>
    <row r="4" spans="1:5" x14ac:dyDescent="0.25">
      <c r="C4" s="62">
        <v>46022</v>
      </c>
      <c r="D4" s="62">
        <v>46387</v>
      </c>
      <c r="E4" s="62">
        <v>46752</v>
      </c>
    </row>
    <row r="6" spans="1:5" x14ac:dyDescent="0.25">
      <c r="A6" s="47" t="s">
        <v>56</v>
      </c>
      <c r="C6" s="52">
        <f>'Balance Sheet (v5)'!B6</f>
        <v>800</v>
      </c>
      <c r="D6" s="52">
        <f>'Balance Sheet (v5)'!C6</f>
        <v>600</v>
      </c>
      <c r="E6" s="52">
        <f>'Balance Sheet (v5)'!D6</f>
        <v>400</v>
      </c>
    </row>
    <row r="8" spans="1:5" x14ac:dyDescent="0.25">
      <c r="A8" s="47" t="s">
        <v>320</v>
      </c>
    </row>
    <row r="9" spans="1:5" x14ac:dyDescent="0.25">
      <c r="A9" s="46" t="s">
        <v>58</v>
      </c>
      <c r="C9" s="53">
        <f>-'Assumptions (v5)'!D12</f>
        <v>-200</v>
      </c>
      <c r="D9" s="53">
        <f>-'Assumptions (v5)'!E12</f>
        <v>-200</v>
      </c>
      <c r="E9" s="53">
        <f>-'Assumptions (v5)'!F12</f>
        <v>-200</v>
      </c>
    </row>
    <row r="10" spans="1:5" x14ac:dyDescent="0.25">
      <c r="A10" s="47" t="s">
        <v>59</v>
      </c>
      <c r="C10" s="53">
        <f>-'Assumptions (v5)'!D13</f>
        <v>-50</v>
      </c>
      <c r="D10" s="53">
        <f>-'Assumptions (v5)'!E13</f>
        <v>-50</v>
      </c>
      <c r="E10" s="53">
        <f>-'Assumptions (v5)'!F13</f>
        <v>-50</v>
      </c>
    </row>
    <row r="11" spans="1:5" ht="15.75" thickBot="1" x14ac:dyDescent="0.3">
      <c r="A11" s="47" t="s">
        <v>60</v>
      </c>
      <c r="C11" s="57">
        <f>SUM(C9:C10)</f>
        <v>-250</v>
      </c>
      <c r="D11" s="57">
        <f>SUM(D9:D10)</f>
        <v>-250</v>
      </c>
      <c r="E11" s="57">
        <f>SUM(E9:E10)</f>
        <v>-250</v>
      </c>
    </row>
    <row r="12" spans="1:5" ht="15.75" thickTop="1" x14ac:dyDescent="0.25">
      <c r="A12" s="68" t="s">
        <v>321</v>
      </c>
      <c r="B12" s="40"/>
      <c r="C12" s="108"/>
      <c r="D12" s="108"/>
      <c r="E12" s="108"/>
    </row>
    <row r="13" spans="1:5" x14ac:dyDescent="0.25">
      <c r="A13" s="47" t="s">
        <v>322</v>
      </c>
      <c r="C13" s="107">
        <f>'Assumptions (v5)'!D69</f>
        <v>50</v>
      </c>
      <c r="D13" s="107">
        <f>'Assumptions (v5)'!E69</f>
        <v>50</v>
      </c>
      <c r="E13" s="107">
        <f>'Assumptions (v5)'!F69</f>
        <v>50</v>
      </c>
    </row>
    <row r="14" spans="1:5" x14ac:dyDescent="0.25">
      <c r="A14" s="47" t="s">
        <v>323</v>
      </c>
      <c r="C14" s="107">
        <f>C11+C13</f>
        <v>-200</v>
      </c>
      <c r="D14" s="107">
        <f>D11+D13</f>
        <v>-200</v>
      </c>
      <c r="E14" s="107">
        <f>E11+E13</f>
        <v>-200</v>
      </c>
    </row>
    <row r="16" spans="1:5" ht="15.75" thickBot="1" x14ac:dyDescent="0.3">
      <c r="A16" s="47" t="s">
        <v>61</v>
      </c>
      <c r="C16" s="58">
        <f>C6+C14</f>
        <v>600</v>
      </c>
      <c r="D16" s="58">
        <f>D6+D14</f>
        <v>400</v>
      </c>
      <c r="E16" s="58">
        <f>E6+E14</f>
        <v>200</v>
      </c>
    </row>
    <row r="17" spans="1:5" ht="15.75" thickTop="1" x14ac:dyDescent="0.25"/>
    <row r="18" spans="1:5" x14ac:dyDescent="0.25">
      <c r="A18" s="50" t="s">
        <v>62</v>
      </c>
      <c r="C18" s="47" t="str">
        <f>IF(ABS(C16-'Balance Sheet (v5)'!C6)&lt;0.01,"✅ Ties","❌ "&amp;TEXT(C16-'Balance Sheet (v5)'!C6,"#,##0.00"))</f>
        <v>✅ Ties</v>
      </c>
      <c r="D18" s="47" t="str">
        <f>IF(ABS(D16-'Balance Sheet (v5)'!D6)&lt;0.01,"✅ Ties","❌ "&amp;TEXT(D16-'Balance Sheet (v5)'!D6,"#,##0.00"))</f>
        <v>✅ Ties</v>
      </c>
      <c r="E18" s="47" t="str">
        <f>IF(ABS(E16-'Balance Sheet (v5)'!E6)&lt;0.01,"✅ Ties","❌ "&amp;TEXT(E16-'Balance Sheet (v5)'!E6,"#,##0.00"))</f>
        <v>✅ Ties</v>
      </c>
    </row>
    <row r="21" spans="1:5" ht="15.75" x14ac:dyDescent="0.25">
      <c r="A21" s="51" t="s">
        <v>63</v>
      </c>
    </row>
    <row r="22" spans="1:5" x14ac:dyDescent="0.25">
      <c r="A22" s="45" t="s">
        <v>64</v>
      </c>
    </row>
    <row r="23" spans="1:5" x14ac:dyDescent="0.25">
      <c r="C23" s="49" t="s">
        <v>22</v>
      </c>
      <c r="D23" s="49" t="s">
        <v>23</v>
      </c>
      <c r="E23" s="49" t="s">
        <v>24</v>
      </c>
    </row>
    <row r="25" spans="1:5" x14ac:dyDescent="0.25">
      <c r="A25" s="47" t="s">
        <v>65</v>
      </c>
      <c r="C25" s="55">
        <f>'Balance Sheet (v5)'!B23</f>
        <v>1000</v>
      </c>
      <c r="D25" s="55">
        <f>'Balance Sheet (v5)'!C23</f>
        <v>681.43240989213632</v>
      </c>
      <c r="E25" s="55">
        <f>'Balance Sheet (v5)'!D23</f>
        <v>347.56663502421753</v>
      </c>
    </row>
    <row r="27" spans="1:5" x14ac:dyDescent="0.25">
      <c r="A27" s="47" t="s">
        <v>66</v>
      </c>
    </row>
    <row r="28" spans="1:5" x14ac:dyDescent="0.25">
      <c r="A28" s="46" t="s">
        <v>79</v>
      </c>
      <c r="C28" s="56">
        <f>-('P&amp;L (v5)'!C6+'P&amp;L (v5)'!C7)</f>
        <v>-250</v>
      </c>
      <c r="D28" s="56">
        <f>-('P&amp;L (v5)'!D6+'P&amp;L (v5)'!D7)</f>
        <v>-250</v>
      </c>
      <c r="E28" s="56">
        <f>-('P&amp;L (v5)'!E6+'P&amp;L (v5)'!E7)</f>
        <v>-250</v>
      </c>
    </row>
    <row r="29" spans="1:5" x14ac:dyDescent="0.25">
      <c r="A29" s="47" t="s">
        <v>40</v>
      </c>
      <c r="C29" s="56">
        <f>-'P&amp;L (v5)'!C8</f>
        <v>-30</v>
      </c>
      <c r="D29" s="56">
        <f>-'P&amp;L (v5)'!D8</f>
        <v>-30</v>
      </c>
      <c r="E29" s="56">
        <f>-'P&amp;L (v5)'!E8</f>
        <v>-30</v>
      </c>
    </row>
    <row r="30" spans="1:5" x14ac:dyDescent="0.25">
      <c r="A30" s="46" t="s">
        <v>67</v>
      </c>
      <c r="C30" s="56">
        <f>-'P&amp;L (v5)'!C9</f>
        <v>-72.668144099296867</v>
      </c>
      <c r="D30" s="56">
        <f>-'P&amp;L (v5)'!D9</f>
        <v>-74.848188422275783</v>
      </c>
      <c r="E30" s="56">
        <f>-'P&amp;L (v5)'!E9</f>
        <v>-77.093634074944049</v>
      </c>
    </row>
    <row r="31" spans="1:5" ht="15.75" thickBot="1" x14ac:dyDescent="0.3">
      <c r="A31" s="47" t="s">
        <v>136</v>
      </c>
      <c r="C31" s="60">
        <f>SUM(C28:C30)</f>
        <v>-352.66814409929685</v>
      </c>
      <c r="D31" s="60">
        <f>SUM(D28:D30)</f>
        <v>-354.84818842227577</v>
      </c>
      <c r="E31" s="60">
        <f>SUM(E28:E30)</f>
        <v>-357.09363407494402</v>
      </c>
    </row>
    <row r="32" spans="1:5" ht="15.75" thickTop="1" x14ac:dyDescent="0.25"/>
    <row r="33" spans="1:5" x14ac:dyDescent="0.25">
      <c r="A33" s="47" t="s">
        <v>137</v>
      </c>
    </row>
    <row r="34" spans="1:5" x14ac:dyDescent="0.25">
      <c r="A34" s="46" t="s">
        <v>138</v>
      </c>
      <c r="C34" s="56">
        <f>'Assumptions (v5)'!D39</f>
        <v>27.750910332271246</v>
      </c>
      <c r="D34" s="56">
        <f>'Assumptions (v5)'!E39</f>
        <v>16.622324908399264</v>
      </c>
      <c r="E34" s="56">
        <f>'Assumptions (v5)'!F39</f>
        <v>7.2815533980582359</v>
      </c>
    </row>
    <row r="35" spans="1:5" x14ac:dyDescent="0.25">
      <c r="A35" s="47" t="s">
        <v>117</v>
      </c>
      <c r="C35" s="56">
        <f>'Assumptions (v5)'!D40</f>
        <v>0</v>
      </c>
      <c r="D35" s="56">
        <f>'Assumptions (v5)'!E40</f>
        <v>0</v>
      </c>
      <c r="E35" s="56">
        <f>'Assumptions (v5)'!F40</f>
        <v>0</v>
      </c>
    </row>
    <row r="36" spans="1:5" x14ac:dyDescent="0.25">
      <c r="A36" s="46" t="s">
        <v>139</v>
      </c>
      <c r="C36" s="56">
        <f>'Assumptions (v5)'!D57</f>
        <v>6.3496436591618624</v>
      </c>
      <c r="D36" s="56">
        <f>'Assumptions (v5)'!E57</f>
        <v>4.3600886459578128</v>
      </c>
      <c r="E36" s="56">
        <f>'Assumptions (v5)'!F57</f>
        <v>2.2454456526682733</v>
      </c>
    </row>
    <row r="37" spans="1:5" x14ac:dyDescent="0.25">
      <c r="A37" s="47" t="s">
        <v>140</v>
      </c>
      <c r="C37" s="59">
        <f>SUM(C34:C36)</f>
        <v>34.10055399143311</v>
      </c>
      <c r="D37" s="59">
        <f>SUM(D34:D36)</f>
        <v>20.982413554357077</v>
      </c>
      <c r="E37" s="59">
        <f>SUM(E34:E36)</f>
        <v>9.5269990507265092</v>
      </c>
    </row>
    <row r="39" spans="1:5" ht="15.75" thickBot="1" x14ac:dyDescent="0.3">
      <c r="A39" s="47" t="s">
        <v>69</v>
      </c>
      <c r="C39" s="60">
        <f>C25+C31+C37</f>
        <v>681.43240989213632</v>
      </c>
      <c r="D39" s="60">
        <f>D25+D31+D37</f>
        <v>347.56663502421765</v>
      </c>
      <c r="E39" s="60">
        <f>E25+E31+E37</f>
        <v>2.1316282072803006E-14</v>
      </c>
    </row>
    <row r="40" spans="1:5" ht="15.75" thickTop="1" x14ac:dyDescent="0.25"/>
    <row r="41" spans="1:5" x14ac:dyDescent="0.25">
      <c r="A41" s="50" t="s">
        <v>62</v>
      </c>
      <c r="C41" s="47" t="str">
        <f>IF(ABS(C39-'Balance Sheet (v5)'!C23)&lt;0.01,"✅ Ties","❌ "&amp;TEXT(C39-'Balance Sheet (v5)'!C23,"#,##0.00"))</f>
        <v>✅ Ties</v>
      </c>
      <c r="D41" s="47" t="str">
        <f>IF(ABS(D39-'Balance Sheet (v5)'!D23)&lt;0.01,"✅ Ties","❌ "&amp;TEXT(D39-'Balance Sheet (v5)'!D23,"#,##0.00"))</f>
        <v>✅ Ties</v>
      </c>
      <c r="E41" s="47" t="str">
        <f>IF(ABS(E39-'Balance Sheet (v5)'!E23)&lt;0.01,"✅ Ties","❌ "&amp;TEXT(E39-'Balance Sheet (v5)'!E23,"#,##0.00"))</f>
        <v>✅ Ties</v>
      </c>
    </row>
    <row r="43" spans="1:5" ht="15.75" x14ac:dyDescent="0.25">
      <c r="A43" s="109" t="s">
        <v>324</v>
      </c>
      <c r="B43" s="40"/>
      <c r="C43" s="40"/>
      <c r="D43" s="40"/>
      <c r="E43" s="40"/>
    </row>
    <row r="44" spans="1:5" x14ac:dyDescent="0.25">
      <c r="A44" s="45" t="s">
        <v>325</v>
      </c>
    </row>
    <row r="45" spans="1:5" x14ac:dyDescent="0.25">
      <c r="C45" s="49" t="s">
        <v>22</v>
      </c>
      <c r="D45" s="49" t="s">
        <v>23</v>
      </c>
      <c r="E45" s="49" t="s">
        <v>24</v>
      </c>
    </row>
    <row r="47" spans="1:5" x14ac:dyDescent="0.25">
      <c r="A47" s="47" t="s">
        <v>326</v>
      </c>
      <c r="C47" s="55">
        <f>'Balance Sheet (v5)'!B13</f>
        <v>200</v>
      </c>
      <c r="D47" s="55">
        <f>'Balance Sheet (v5)'!C13</f>
        <v>136.28648197842725</v>
      </c>
      <c r="E47" s="55">
        <f>'Balance Sheet (v5)'!D13</f>
        <v>69.513327004843518</v>
      </c>
    </row>
    <row r="49" spans="1:5" x14ac:dyDescent="0.25">
      <c r="A49" s="47" t="s">
        <v>327</v>
      </c>
    </row>
    <row r="50" spans="1:5" x14ac:dyDescent="0.25">
      <c r="A50" s="46" t="s">
        <v>292</v>
      </c>
      <c r="C50" s="56">
        <f>-'P&amp;L (v5)'!C23</f>
        <v>-50</v>
      </c>
      <c r="D50" s="56">
        <f>-'P&amp;L (v5)'!D23</f>
        <v>-50</v>
      </c>
      <c r="E50" s="56">
        <f>-'P&amp;L (v5)'!E23</f>
        <v>-50</v>
      </c>
    </row>
    <row r="51" spans="1:5" x14ac:dyDescent="0.25">
      <c r="A51" s="47" t="s">
        <v>328</v>
      </c>
      <c r="C51" s="56">
        <f>'P&amp;L (v5)'!C24</f>
        <v>-6</v>
      </c>
      <c r="D51" s="56">
        <f>'P&amp;L (v5)'!D24</f>
        <v>-6</v>
      </c>
      <c r="E51" s="56">
        <f>'P&amp;L (v5)'!E24</f>
        <v>-6</v>
      </c>
    </row>
    <row r="52" spans="1:5" x14ac:dyDescent="0.25">
      <c r="A52" s="46" t="s">
        <v>329</v>
      </c>
      <c r="C52" s="56">
        <f>'Assumptions (v5)'!D105</f>
        <v>-14.533628819859375</v>
      </c>
      <c r="D52" s="56">
        <f>'Assumptions (v5)'!E105</f>
        <v>-14.969637684455158</v>
      </c>
      <c r="E52" s="56">
        <f>'Assumptions (v5)'!F105</f>
        <v>-15.418726814988812</v>
      </c>
    </row>
    <row r="53" spans="1:5" x14ac:dyDescent="0.25">
      <c r="A53" s="47" t="s">
        <v>136</v>
      </c>
      <c r="C53" s="55">
        <f>SUM(C50:C52)</f>
        <v>-70.533628819859373</v>
      </c>
      <c r="D53" s="55">
        <f>SUM(D50:D52)</f>
        <v>-70.969637684455165</v>
      </c>
      <c r="E53" s="55">
        <f>SUM(E50:E52)</f>
        <v>-71.418726814988815</v>
      </c>
    </row>
    <row r="55" spans="1:5" x14ac:dyDescent="0.25">
      <c r="A55" s="47" t="s">
        <v>330</v>
      </c>
    </row>
    <row r="56" spans="1:5" x14ac:dyDescent="0.25">
      <c r="A56" s="46" t="s">
        <v>331</v>
      </c>
      <c r="C56" s="56">
        <f>'Assumptions (v5)'!D83</f>
        <v>5.5501820664542549</v>
      </c>
      <c r="D56" s="56">
        <f>'Assumptions (v5)'!E83</f>
        <v>3.3244649816798528</v>
      </c>
      <c r="E56" s="56">
        <f>'Assumptions (v5)'!F83</f>
        <v>1.4563106796116472</v>
      </c>
    </row>
    <row r="57" spans="1:5" x14ac:dyDescent="0.25">
      <c r="A57" s="47" t="s">
        <v>332</v>
      </c>
      <c r="C57" s="56">
        <f>'Assumptions (v5)'!D84</f>
        <v>0</v>
      </c>
      <c r="D57" s="56">
        <f>'Assumptions (v5)'!E84</f>
        <v>0</v>
      </c>
      <c r="E57" s="56">
        <f>'Assumptions (v5)'!F84</f>
        <v>0</v>
      </c>
    </row>
    <row r="58" spans="1:5" x14ac:dyDescent="0.25">
      <c r="A58" s="46" t="s">
        <v>333</v>
      </c>
      <c r="C58" s="56">
        <f>'Assumptions (v5)'!D103</f>
        <v>1.2699287318323726</v>
      </c>
      <c r="D58" s="56">
        <f>'Assumptions (v5)'!E103</f>
        <v>0.87201772919156262</v>
      </c>
      <c r="E58" s="56">
        <f>'Assumptions (v5)'!F103</f>
        <v>0.44908913053365473</v>
      </c>
    </row>
    <row r="59" spans="1:5" x14ac:dyDescent="0.25">
      <c r="A59" s="47" t="s">
        <v>334</v>
      </c>
      <c r="C59" s="55">
        <f>SUM(C56:C58)</f>
        <v>6.8201107982866276</v>
      </c>
      <c r="D59" s="55">
        <f>SUM(D56:D58)</f>
        <v>4.1964827108714156</v>
      </c>
      <c r="E59" s="55">
        <f>SUM(E56:E58)</f>
        <v>1.905399810145302</v>
      </c>
    </row>
    <row r="61" spans="1:5" x14ac:dyDescent="0.25">
      <c r="A61" s="47" t="s">
        <v>335</v>
      </c>
      <c r="C61" s="55">
        <f>C47+C53+C59</f>
        <v>136.28648197842728</v>
      </c>
      <c r="D61" s="55">
        <f>D47+D53+D59</f>
        <v>69.513327004843504</v>
      </c>
      <c r="E61" s="55">
        <f>E47+E53+E59</f>
        <v>4.4408920985006262E-15</v>
      </c>
    </row>
    <row r="63" spans="1:5" x14ac:dyDescent="0.25">
      <c r="A63" s="50" t="s">
        <v>62</v>
      </c>
      <c r="C63" t="str">
        <f>IF(ABS(C61-'Balance Sheet (v5)'!C13)&lt;0.01,"✅ Ties","❌ "&amp;TEXT(C61-'Balance Sheet (v5)'!C13,"#,##0.00"))</f>
        <v>✅ Ties</v>
      </c>
      <c r="D63" t="str">
        <f>IF(ABS(D61-'Balance Sheet (v5)'!D13)&lt;0.01,"✅ Ties","❌ "&amp;TEXT(D61-'Balance Sheet (v5)'!D13,"#,##0.00"))</f>
        <v>✅ Ties</v>
      </c>
      <c r="E63" t="str">
        <f>IF(ABS(E61-'Balance Sheet (v5)'!E13)&lt;0.01,"✅ Ties","❌ "&amp;TEXT(E61-'Balance Sheet (v5)'!E13,"#,##0.00"))</f>
        <v>✅ Ties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Read me</vt:lpstr>
      <vt:lpstr>Simple Model →</vt:lpstr>
      <vt:lpstr>Assumptions (v1)</vt:lpstr>
      <vt:lpstr>P&amp;L (v1)</vt:lpstr>
      <vt:lpstr>Balance Sheet (v1)</vt:lpstr>
      <vt:lpstr>Cash Flow (v1)</vt:lpstr>
      <vt:lpstr>Add discounting →</vt:lpstr>
      <vt:lpstr>Assumptions (v2)</vt:lpstr>
      <vt:lpstr>Balance Sheet (v2)</vt:lpstr>
      <vt:lpstr>P&amp;L (v2)</vt:lpstr>
      <vt:lpstr>Cash Flow (v2)</vt:lpstr>
      <vt:lpstr>Experience Variance →</vt:lpstr>
      <vt:lpstr>Assumptions (v3a)</vt:lpstr>
      <vt:lpstr>P&amp;L (v3a)</vt:lpstr>
      <vt:lpstr>Balance Sheet (v3a)</vt:lpstr>
      <vt:lpstr>Cash Flow (v3a)</vt:lpstr>
      <vt:lpstr>Re-estimation (Option B) →</vt:lpstr>
      <vt:lpstr>Assumptions (v3b)</vt:lpstr>
      <vt:lpstr>P&amp;L (v3b)</vt:lpstr>
      <vt:lpstr>Balance Sheet (v3b)</vt:lpstr>
      <vt:lpstr>Cash Flow (v3b)</vt:lpstr>
      <vt:lpstr>Onerous Contract →</vt:lpstr>
      <vt:lpstr>Assumptions (v4)</vt:lpstr>
      <vt:lpstr>P&amp;L (v4)</vt:lpstr>
      <vt:lpstr>Balance Sheet (v4)</vt:lpstr>
      <vt:lpstr>Cash Flow (v4)</vt:lpstr>
      <vt:lpstr>Reinsurance Held →</vt:lpstr>
      <vt:lpstr>Assumptions (v5)</vt:lpstr>
      <vt:lpstr>P&amp;L (v5)</vt:lpstr>
      <vt:lpstr>Balance Sheet (v5)</vt:lpstr>
      <vt:lpstr>Cash Flow (v5)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Martinez Checa</dc:creator>
  <cp:lastModifiedBy>Francisco Martinez Checa</cp:lastModifiedBy>
  <dcterms:created xsi:type="dcterms:W3CDTF">2026-04-03T20:38:55Z</dcterms:created>
  <dcterms:modified xsi:type="dcterms:W3CDTF">2026-04-10T08:42:01Z</dcterms:modified>
</cp:coreProperties>
</file>